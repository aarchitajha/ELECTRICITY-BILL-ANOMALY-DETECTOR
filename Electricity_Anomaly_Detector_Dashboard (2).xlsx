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vp-tinkerkd\"/>
    </mc:Choice>
  </mc:AlternateContent>
  <xr:revisionPtr revIDLastSave="0" documentId="13_ncr:1_{EADAFAB8-63E9-4282-932C-F991DBD4AFF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Data" sheetId="2" state="hidden" r:id="rId2"/>
  </sheets>
  <definedNames>
    <definedName name="_xlnm.Print_Area" localSheetId="0">Dashboard!$A$1:$AH$62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30" i="2" l="1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M12" i="2"/>
  <c r="AK12" i="2"/>
  <c r="AM11" i="2"/>
  <c r="AK11" i="2"/>
  <c r="AM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N5" i="2"/>
  <c r="AM5" i="2"/>
  <c r="AL5" i="2"/>
  <c r="AK5" i="2"/>
  <c r="AN4" i="2"/>
  <c r="AM4" i="2"/>
  <c r="AL4" i="2"/>
  <c r="AK4" i="2"/>
  <c r="AN3" i="2"/>
  <c r="AM3" i="2"/>
  <c r="AL3" i="2"/>
  <c r="AK3" i="2"/>
  <c r="AD73" i="1"/>
  <c r="Y73" i="1"/>
  <c r="U73" i="1"/>
  <c r="P73" i="1"/>
  <c r="K73" i="1"/>
  <c r="F73" i="1"/>
  <c r="A73" i="1"/>
  <c r="AD72" i="1"/>
  <c r="Y72" i="1"/>
  <c r="U72" i="1"/>
  <c r="P72" i="1"/>
  <c r="K72" i="1"/>
  <c r="F72" i="1"/>
  <c r="A72" i="1"/>
  <c r="AD71" i="1"/>
  <c r="Y71" i="1"/>
  <c r="U71" i="1"/>
  <c r="P71" i="1"/>
  <c r="K71" i="1"/>
  <c r="F71" i="1"/>
  <c r="A71" i="1"/>
  <c r="AD70" i="1"/>
  <c r="Y70" i="1"/>
  <c r="U70" i="1"/>
  <c r="P70" i="1"/>
  <c r="K70" i="1"/>
  <c r="F70" i="1"/>
  <c r="A70" i="1"/>
  <c r="AD69" i="1"/>
  <c r="Y69" i="1"/>
  <c r="U69" i="1"/>
  <c r="P69" i="1"/>
  <c r="K69" i="1"/>
  <c r="F69" i="1"/>
  <c r="A69" i="1"/>
  <c r="AD68" i="1"/>
  <c r="Y68" i="1"/>
  <c r="U68" i="1"/>
  <c r="P68" i="1"/>
  <c r="K68" i="1"/>
  <c r="F68" i="1"/>
  <c r="A68" i="1"/>
  <c r="AD67" i="1"/>
  <c r="Y67" i="1"/>
  <c r="U67" i="1"/>
  <c r="P67" i="1"/>
  <c r="K67" i="1"/>
  <c r="F67" i="1"/>
  <c r="A67" i="1"/>
  <c r="AD66" i="1"/>
  <c r="Y66" i="1"/>
  <c r="U66" i="1"/>
  <c r="P66" i="1"/>
  <c r="K66" i="1"/>
  <c r="F66" i="1"/>
  <c r="A66" i="1"/>
  <c r="AD65" i="1"/>
  <c r="Y65" i="1"/>
  <c r="U65" i="1"/>
  <c r="P65" i="1"/>
  <c r="K65" i="1"/>
  <c r="F65" i="1"/>
  <c r="A65" i="1"/>
  <c r="AD64" i="1"/>
  <c r="Y64" i="1"/>
  <c r="U64" i="1"/>
  <c r="P64" i="1"/>
  <c r="K64" i="1"/>
  <c r="F64" i="1"/>
  <c r="A64" i="1"/>
  <c r="AD63" i="1"/>
  <c r="Y63" i="1"/>
  <c r="U63" i="1"/>
  <c r="P63" i="1"/>
  <c r="K63" i="1"/>
  <c r="F63" i="1"/>
  <c r="A63" i="1"/>
  <c r="AD62" i="1"/>
  <c r="Y62" i="1"/>
  <c r="U62" i="1"/>
  <c r="P62" i="1"/>
  <c r="K62" i="1"/>
  <c r="F62" i="1"/>
  <c r="A62" i="1"/>
  <c r="AD61" i="1"/>
  <c r="Y61" i="1"/>
  <c r="U61" i="1"/>
  <c r="P61" i="1"/>
  <c r="K61" i="1"/>
  <c r="F61" i="1"/>
  <c r="A61" i="1"/>
  <c r="AD60" i="1"/>
  <c r="Y60" i="1"/>
  <c r="U60" i="1"/>
  <c r="P60" i="1"/>
  <c r="K60" i="1"/>
  <c r="F60" i="1"/>
  <c r="A60" i="1"/>
  <c r="AD59" i="1"/>
  <c r="Y59" i="1"/>
  <c r="U59" i="1"/>
  <c r="P59" i="1"/>
  <c r="K59" i="1"/>
  <c r="F59" i="1"/>
  <c r="A59" i="1"/>
  <c r="Z14" i="1"/>
  <c r="U14" i="1"/>
  <c r="P14" i="1"/>
  <c r="K14" i="1"/>
  <c r="F14" i="1"/>
  <c r="A14" i="1"/>
  <c r="P9" i="1"/>
  <c r="K9" i="1"/>
  <c r="F9" i="1"/>
  <c r="A9" i="1"/>
  <c r="P7" i="1"/>
  <c r="K7" i="1"/>
  <c r="F7" i="1"/>
  <c r="A7" i="1"/>
</calcChain>
</file>

<file path=xl/sharedStrings.xml><?xml version="1.0" encoding="utf-8"?>
<sst xmlns="http://schemas.openxmlformats.org/spreadsheetml/2006/main" count="321" uniqueCount="288">
  <si>
    <t>MONTH</t>
  </si>
  <si>
    <t>DAY OF WEEK</t>
  </si>
  <si>
    <t>HOUSEHOLD (Top 10 by anomalies)</t>
  </si>
  <si>
    <t>ANOMALY STATUS</t>
  </si>
  <si>
    <t>All Months</t>
  </si>
  <si>
    <t>All Days</t>
  </si>
  <si>
    <t>All Households</t>
  </si>
  <si>
    <t>All Status</t>
  </si>
  <si>
    <t>AVG ENERGY (KWH/DAY)</t>
  </si>
  <si>
    <t>ANOMALY COUNT</t>
  </si>
  <si>
    <t>RECORD COUNT</t>
  </si>
  <si>
    <t>ANOMALIES DETECTED</t>
  </si>
  <si>
    <t>ANOMALY RATE (%)</t>
  </si>
  <si>
    <t>SHARE OF ALL RECORDS (%)</t>
  </si>
  <si>
    <t>HOUSEHOLDS</t>
  </si>
  <si>
    <t>DAILY RECORDS</t>
  </si>
  <si>
    <t>TOTAL ANOMALIES</t>
  </si>
  <si>
    <t>ANOMALY RATE</t>
  </si>
  <si>
    <t>HIGH CONSUMPTION</t>
  </si>
  <si>
    <t>LOW CONSUMPTION</t>
  </si>
  <si>
    <t xml:space="preserve">  WEEKLY ENERGY TREND (avg kWh/household/day)</t>
  </si>
  <si>
    <t xml:space="preserve">  ANOMALY STATUS BREAKDOWN</t>
  </si>
  <si>
    <t xml:space="preserve">  ANOMALY RATE BY DAY OF WEEK (%)</t>
  </si>
  <si>
    <t xml:space="preserve">  TOP 10 HOUSEHOLDS BY ANOMALY COUNT</t>
  </si>
  <si>
    <t xml:space="preserve">  TOP 15 MOST EXTREME ANOMALIES  (ranked by anomaly score = |value − mean| / std)</t>
  </si>
  <si>
    <t>Household</t>
  </si>
  <si>
    <t>Date</t>
  </si>
  <si>
    <t>Energy (kWh)</t>
  </si>
  <si>
    <t>HH Mean</t>
  </si>
  <si>
    <t>HH Std</t>
  </si>
  <si>
    <t>Status</t>
  </si>
  <si>
    <t>Anomaly Score</t>
  </si>
  <si>
    <t>KPIs</t>
  </si>
  <si>
    <t>Weekly</t>
  </si>
  <si>
    <t>Monthly</t>
  </si>
  <si>
    <t>DOW</t>
  </si>
  <si>
    <t>TopHouseholds</t>
  </si>
  <si>
    <t>TopRecords</t>
  </si>
  <si>
    <t>Distribution</t>
  </si>
  <si>
    <t>StatusCounts</t>
  </si>
  <si>
    <t>MonthList</t>
  </si>
  <si>
    <t>DayList</t>
  </si>
  <si>
    <t>HouseholdList</t>
  </si>
  <si>
    <t>StatusList</t>
  </si>
  <si>
    <t>Metric</t>
  </si>
  <si>
    <t>Value</t>
  </si>
  <si>
    <t>week</t>
  </si>
  <si>
    <t>avg_energy</t>
  </si>
  <si>
    <t>anomalies</t>
  </si>
  <si>
    <t>records</t>
  </si>
  <si>
    <t>month</t>
  </si>
  <si>
    <t>dow</t>
  </si>
  <si>
    <t>anomaly_rate</t>
  </si>
  <si>
    <t>LCLid</t>
  </si>
  <si>
    <t>total_days</t>
  </si>
  <si>
    <t>anomaly_count</t>
  </si>
  <si>
    <t>anomaly_rate_pct</t>
  </si>
  <si>
    <t>day</t>
  </si>
  <si>
    <t>energy_sum</t>
  </si>
  <si>
    <t>mean</t>
  </si>
  <si>
    <t>std</t>
  </si>
  <si>
    <t>status</t>
  </si>
  <si>
    <t>anomaly_score</t>
  </si>
  <si>
    <t>range_kwh</t>
  </si>
  <si>
    <t>count</t>
  </si>
  <si>
    <t>Total Households</t>
  </si>
  <si>
    <t>1636</t>
  </si>
  <si>
    <t>2011-11-21</t>
  </si>
  <si>
    <t>2011-11</t>
  </si>
  <si>
    <t>Monday</t>
  </si>
  <si>
    <t>MAC004292</t>
  </si>
  <si>
    <t>MAC001372</t>
  </si>
  <si>
    <t>2013-11-29</t>
  </si>
  <si>
    <t>High Consumption</t>
  </si>
  <si>
    <t>0-1</t>
  </si>
  <si>
    <t>Normal</t>
  </si>
  <si>
    <t>Total Daily Records</t>
  </si>
  <si>
    <t>1048565</t>
  </si>
  <si>
    <t>2011-11-28</t>
  </si>
  <si>
    <t>2011-12</t>
  </si>
  <si>
    <t>Tuesday</t>
  </si>
  <si>
    <t>MAC000248</t>
  </si>
  <si>
    <t>MAC000937</t>
  </si>
  <si>
    <t>2013-01-07</t>
  </si>
  <si>
    <t>1-2</t>
  </si>
  <si>
    <t>Date Range Start</t>
  </si>
  <si>
    <t>2011-11-23</t>
  </si>
  <si>
    <t>2011-12-05</t>
  </si>
  <si>
    <t>2012-01</t>
  </si>
  <si>
    <t>Wednesday</t>
  </si>
  <si>
    <t>MAC004445</t>
  </si>
  <si>
    <t>MAC003099</t>
  </si>
  <si>
    <t>2014-02-03</t>
  </si>
  <si>
    <t>2-3</t>
  </si>
  <si>
    <t>Low Consumption</t>
  </si>
  <si>
    <t>Date Range End</t>
  </si>
  <si>
    <t>2014-02-28</t>
  </si>
  <si>
    <t>2011-12-12</t>
  </si>
  <si>
    <t>2012-02</t>
  </si>
  <si>
    <t>Thursday</t>
  </si>
  <si>
    <t>MAC005440</t>
  </si>
  <si>
    <t>MAC001106</t>
  </si>
  <si>
    <t>2013-03-27</t>
  </si>
  <si>
    <t>3-5</t>
  </si>
  <si>
    <t>Total Anomalies</t>
  </si>
  <si>
    <t>47193</t>
  </si>
  <si>
    <t>2011-12-19</t>
  </si>
  <si>
    <t>2012-03</t>
  </si>
  <si>
    <t>Friday</t>
  </si>
  <si>
    <t>MAC004896</t>
  </si>
  <si>
    <t>MAC000958</t>
  </si>
  <si>
    <t>2012-12-26</t>
  </si>
  <si>
    <t>5-7</t>
  </si>
  <si>
    <t>High-Consumption Anomalies</t>
  </si>
  <si>
    <t>34456</t>
  </si>
  <si>
    <t>2011-12-26</t>
  </si>
  <si>
    <t>2012-04</t>
  </si>
  <si>
    <t>Saturday</t>
  </si>
  <si>
    <t>MAC000237</t>
  </si>
  <si>
    <t>MAC000962</t>
  </si>
  <si>
    <t>2013-03-11</t>
  </si>
  <si>
    <t>7-10</t>
  </si>
  <si>
    <t>Low-Consumption Anomalies</t>
  </si>
  <si>
    <t>12737</t>
  </si>
  <si>
    <t>2012-01-02</t>
  </si>
  <si>
    <t>2012-05</t>
  </si>
  <si>
    <t>Sunday</t>
  </si>
  <si>
    <t>MAC002939</t>
  </si>
  <si>
    <t>MAC004803</t>
  </si>
  <si>
    <t>2012-12-16</t>
  </si>
  <si>
    <t>10-15</t>
  </si>
  <si>
    <t>Anomaly Rate (%)</t>
  </si>
  <si>
    <t>4.5</t>
  </si>
  <si>
    <t>2012-01-09</t>
  </si>
  <si>
    <t>2012-06</t>
  </si>
  <si>
    <t>MAC000056</t>
  </si>
  <si>
    <t>MAC003616</t>
  </si>
  <si>
    <t>15-20</t>
  </si>
  <si>
    <t>Avg Daily Energy (kWh)</t>
  </si>
  <si>
    <t>9.746</t>
  </si>
  <si>
    <t>2012-01-16</t>
  </si>
  <si>
    <t>2012-07</t>
  </si>
  <si>
    <t>MAC004576</t>
  </si>
  <si>
    <t>MAC001905</t>
  </si>
  <si>
    <t>2012-11-18</t>
  </si>
  <si>
    <t>20-50</t>
  </si>
  <si>
    <t>Total Energy Recorded (kWh)</t>
  </si>
  <si>
    <t>10219682.0</t>
  </si>
  <si>
    <t>2012-01-23</t>
  </si>
  <si>
    <t>2012-08</t>
  </si>
  <si>
    <t>MAC004579</t>
  </si>
  <si>
    <t>2012-12-27</t>
  </si>
  <si>
    <t>50+</t>
  </si>
  <si>
    <t>2012-01-30</t>
  </si>
  <si>
    <t>2012-09</t>
  </si>
  <si>
    <t>MAC000391</t>
  </si>
  <si>
    <t>2013-01-15</t>
  </si>
  <si>
    <t>2012-02-06</t>
  </si>
  <si>
    <t>2012-10</t>
  </si>
  <si>
    <t>MAC001504</t>
  </si>
  <si>
    <t>2012-10-26</t>
  </si>
  <si>
    <t>2012-02-13</t>
  </si>
  <si>
    <t>2012-11</t>
  </si>
  <si>
    <t>MAC004087</t>
  </si>
  <si>
    <t>2013-04-02</t>
  </si>
  <si>
    <t>2012-02-20</t>
  </si>
  <si>
    <t>2012-12</t>
  </si>
  <si>
    <t>MAC003825</t>
  </si>
  <si>
    <t>2013-12-07</t>
  </si>
  <si>
    <t>2012-02-27</t>
  </si>
  <si>
    <t>2013-01</t>
  </si>
  <si>
    <t>MAC004805</t>
  </si>
  <si>
    <t>2013-02-28</t>
  </si>
  <si>
    <t>2012-03-05</t>
  </si>
  <si>
    <t>2013-02</t>
  </si>
  <si>
    <t>2012-03-12</t>
  </si>
  <si>
    <t>2013-03</t>
  </si>
  <si>
    <t>2012-03-19</t>
  </si>
  <si>
    <t>2013-04</t>
  </si>
  <si>
    <t>2012-03-26</t>
  </si>
  <si>
    <t>2013-05</t>
  </si>
  <si>
    <t>2012-04-02</t>
  </si>
  <si>
    <t>2013-06</t>
  </si>
  <si>
    <t>2012-04-09</t>
  </si>
  <si>
    <t>2013-07</t>
  </si>
  <si>
    <t>2012-04-16</t>
  </si>
  <si>
    <t>2013-08</t>
  </si>
  <si>
    <t>2012-04-23</t>
  </si>
  <si>
    <t>2013-09</t>
  </si>
  <si>
    <t>2012-04-30</t>
  </si>
  <si>
    <t>2013-10</t>
  </si>
  <si>
    <t>2012-05-07</t>
  </si>
  <si>
    <t>2013-11</t>
  </si>
  <si>
    <t>2012-05-14</t>
  </si>
  <si>
    <t>2013-12</t>
  </si>
  <si>
    <t>2012-05-21</t>
  </si>
  <si>
    <t>2014-01</t>
  </si>
  <si>
    <t>2012-05-28</t>
  </si>
  <si>
    <t>2014-02</t>
  </si>
  <si>
    <t>2012-06-04</t>
  </si>
  <si>
    <t>2012-06-11</t>
  </si>
  <si>
    <t>2012-06-18</t>
  </si>
  <si>
    <t>2012-06-25</t>
  </si>
  <si>
    <t>2012-07-02</t>
  </si>
  <si>
    <t>2012-07-09</t>
  </si>
  <si>
    <t>2012-07-16</t>
  </si>
  <si>
    <t>2012-07-23</t>
  </si>
  <si>
    <t>2012-07-30</t>
  </si>
  <si>
    <t>2012-08-06</t>
  </si>
  <si>
    <t>2012-08-13</t>
  </si>
  <si>
    <t>2012-08-20</t>
  </si>
  <si>
    <t>2012-08-27</t>
  </si>
  <si>
    <t>2012-09-03</t>
  </si>
  <si>
    <t>2012-09-10</t>
  </si>
  <si>
    <t>2012-09-17</t>
  </si>
  <si>
    <t>2012-09-24</t>
  </si>
  <si>
    <t>2012-10-01</t>
  </si>
  <si>
    <t>2012-10-08</t>
  </si>
  <si>
    <t>2012-10-15</t>
  </si>
  <si>
    <t>2012-10-22</t>
  </si>
  <si>
    <t>2012-10-29</t>
  </si>
  <si>
    <t>2012-11-05</t>
  </si>
  <si>
    <t>2012-11-12</t>
  </si>
  <si>
    <t>2012-11-19</t>
  </si>
  <si>
    <t>2012-11-26</t>
  </si>
  <si>
    <t>2012-12-03</t>
  </si>
  <si>
    <t>2012-12-10</t>
  </si>
  <si>
    <t>2012-12-17</t>
  </si>
  <si>
    <t>2012-12-24</t>
  </si>
  <si>
    <t>2012-12-31</t>
  </si>
  <si>
    <t>2013-01-14</t>
  </si>
  <si>
    <t>2013-01-21</t>
  </si>
  <si>
    <t>2013-01-28</t>
  </si>
  <si>
    <t>2013-02-04</t>
  </si>
  <si>
    <t>2013-02-11</t>
  </si>
  <si>
    <t>2013-02-18</t>
  </si>
  <si>
    <t>2013-02-25</t>
  </si>
  <si>
    <t>2013-03-04</t>
  </si>
  <si>
    <t>2013-03-18</t>
  </si>
  <si>
    <t>2013-03-25</t>
  </si>
  <si>
    <t>2013-04-01</t>
  </si>
  <si>
    <t>2013-04-08</t>
  </si>
  <si>
    <t>2013-04-15</t>
  </si>
  <si>
    <t>2013-04-22</t>
  </si>
  <si>
    <t>2013-04-29</t>
  </si>
  <si>
    <t>2013-05-06</t>
  </si>
  <si>
    <t>2013-05-13</t>
  </si>
  <si>
    <t>2013-05-20</t>
  </si>
  <si>
    <t>2013-05-27</t>
  </si>
  <si>
    <t>2013-06-03</t>
  </si>
  <si>
    <t>2013-06-10</t>
  </si>
  <si>
    <t>2013-06-17</t>
  </si>
  <si>
    <t>2013-06-24</t>
  </si>
  <si>
    <t>2013-07-01</t>
  </si>
  <si>
    <t>2013-07-08</t>
  </si>
  <si>
    <t>2013-07-15</t>
  </si>
  <si>
    <t>2013-07-22</t>
  </si>
  <si>
    <t>2013-07-29</t>
  </si>
  <si>
    <t>2013-08-05</t>
  </si>
  <si>
    <t>2013-08-12</t>
  </si>
  <si>
    <t>2013-08-19</t>
  </si>
  <si>
    <t>2013-08-26</t>
  </si>
  <si>
    <t>2013-09-02</t>
  </si>
  <si>
    <t>2013-09-09</t>
  </si>
  <si>
    <t>2013-09-16</t>
  </si>
  <si>
    <t>2013-09-23</t>
  </si>
  <si>
    <t>2013-09-30</t>
  </si>
  <si>
    <t>2013-10-07</t>
  </si>
  <si>
    <t>2013-10-14</t>
  </si>
  <si>
    <t>2013-10-21</t>
  </si>
  <si>
    <t>2013-10-28</t>
  </si>
  <si>
    <t>2013-11-04</t>
  </si>
  <si>
    <t>2013-11-11</t>
  </si>
  <si>
    <t>2013-11-18</t>
  </si>
  <si>
    <t>2013-11-25</t>
  </si>
  <si>
    <t>2013-12-02</t>
  </si>
  <si>
    <t>2013-12-09</t>
  </si>
  <si>
    <t>2013-12-16</t>
  </si>
  <si>
    <t>2013-12-23</t>
  </si>
  <si>
    <t>2013-12-30</t>
  </si>
  <si>
    <t>2014-01-06</t>
  </si>
  <si>
    <t>2014-01-13</t>
  </si>
  <si>
    <t>2014-01-20</t>
  </si>
  <si>
    <t>2014-01-27</t>
  </si>
  <si>
    <t>2014-02-10</t>
  </si>
  <si>
    <t>2014-02-17</t>
  </si>
  <si>
    <t>2014-02-24</t>
  </si>
  <si>
    <t>Electricity Bill Anomaly Detector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</si>
</sst>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1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name val="Arial"/>
      <charset val="1"/>
    </font>
    <font>
      <b/>
      <sz val="8"/>
      <color rgb="FFFFFFFF"/>
      <name val="Arial"/>
      <charset val="1"/>
    </font>
    <font>
      <b/>
      <sz val="12"/>
      <color rgb="FF000000"/>
      <name val="Arial"/>
      <charset val="1"/>
    </font>
    <font>
      <b/>
      <sz val="7.5"/>
      <color rgb="FF808080"/>
      <name val="Arial"/>
      <charset val="1"/>
    </font>
    <font>
      <b/>
      <sz val="14"/>
      <color rgb="FF1F3864"/>
      <name val="Arial"/>
      <charset val="1"/>
    </font>
    <font>
      <b/>
      <sz val="14"/>
      <color rgb="FF2E75B6"/>
      <name val="Arial"/>
      <charset val="1"/>
    </font>
    <font>
      <b/>
      <sz val="14"/>
      <color rgb="FFC00000"/>
      <name val="Arial"/>
      <charset val="1"/>
    </font>
    <font>
      <b/>
      <sz val="14"/>
      <color rgb="FFC55A11"/>
      <name val="Arial"/>
      <charset val="1"/>
    </font>
    <font>
      <i/>
      <sz val="7.5"/>
      <color rgb="FF808080"/>
      <name val="Arial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name val="Arial"/>
      <charset val="1"/>
    </font>
    <font>
      <i/>
      <sz val="7"/>
      <color rgb="FF808080"/>
      <name val="Arial"/>
      <charset val="1"/>
    </font>
    <font>
      <b/>
      <sz val="1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ED7D3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D7D31"/>
        <bgColor rgb="FFFF8080"/>
      </patternFill>
    </fill>
  </fills>
  <borders count="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</borders>
  <cellStyleXfs count="1">
    <xf numFmtId="0" fontId="0" fillId="0" borderId="0"/>
  </cellStyleXfs>
  <cellXfs count="37">
    <xf numFmtId="0" fontId="0" fillId="0" borderId="0" xfId="0"/>
    <xf numFmtId="2" fontId="6" fillId="8" borderId="0" xfId="0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2"/>
    </xf>
    <xf numFmtId="0" fontId="2" fillId="0" borderId="0" xfId="0" applyFont="1"/>
    <xf numFmtId="0" fontId="16" fillId="0" borderId="0" xfId="0" applyFont="1"/>
    <xf numFmtId="2" fontId="7" fillId="8" borderId="0" xfId="0" applyNumberFormat="1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  <xf numFmtId="164" fontId="7" fillId="8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indent="1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3" fontId="11" fillId="2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center" vertical="center"/>
    </xf>
    <xf numFmtId="3" fontId="11" fillId="4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3" fontId="11" fillId="5" borderId="0" xfId="0" applyNumberFormat="1" applyFont="1" applyFill="1" applyAlignment="1">
      <alignment horizontal="center" vertical="center"/>
    </xf>
    <xf numFmtId="0" fontId="12" fillId="3" borderId="0" xfId="0" applyFont="1" applyFill="1"/>
    <xf numFmtId="0" fontId="13" fillId="2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4F81BD"/>
      <rgbColor rgb="FF878787"/>
      <rgbColor rgb="FF1F3864"/>
      <rgbColor rgb="FF70AD47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avg_energy</c:v>
                </c:pt>
              </c:strCache>
            </c:strRef>
          </c:tx>
          <c:spPr>
            <a:ln w="15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Data!$D$3:$D$121</c:f>
              <c:strCache>
                <c:ptCount val="119"/>
                <c:pt idx="0">
                  <c:v>2011-11-21</c:v>
                </c:pt>
                <c:pt idx="1">
                  <c:v>2011-11-28</c:v>
                </c:pt>
                <c:pt idx="2">
                  <c:v>2011-12-05</c:v>
                </c:pt>
                <c:pt idx="3">
                  <c:v>2011-12-12</c:v>
                </c:pt>
                <c:pt idx="4">
                  <c:v>2011-12-19</c:v>
                </c:pt>
                <c:pt idx="5">
                  <c:v>2011-12-26</c:v>
                </c:pt>
                <c:pt idx="6">
                  <c:v>2012-01-02</c:v>
                </c:pt>
                <c:pt idx="7">
                  <c:v>2012-01-09</c:v>
                </c:pt>
                <c:pt idx="8">
                  <c:v>2012-01-16</c:v>
                </c:pt>
                <c:pt idx="9">
                  <c:v>2012-01-23</c:v>
                </c:pt>
                <c:pt idx="10">
                  <c:v>2012-01-30</c:v>
                </c:pt>
                <c:pt idx="11">
                  <c:v>2012-02-06</c:v>
                </c:pt>
                <c:pt idx="12">
                  <c:v>2012-02-13</c:v>
                </c:pt>
                <c:pt idx="13">
                  <c:v>2012-02-20</c:v>
                </c:pt>
                <c:pt idx="14">
                  <c:v>2012-02-27</c:v>
                </c:pt>
                <c:pt idx="15">
                  <c:v>2012-03-05</c:v>
                </c:pt>
                <c:pt idx="16">
                  <c:v>2012-03-12</c:v>
                </c:pt>
                <c:pt idx="17">
                  <c:v>2012-03-19</c:v>
                </c:pt>
                <c:pt idx="18">
                  <c:v>2012-03-26</c:v>
                </c:pt>
                <c:pt idx="19">
                  <c:v>2012-04-02</c:v>
                </c:pt>
                <c:pt idx="20">
                  <c:v>2012-04-09</c:v>
                </c:pt>
                <c:pt idx="21">
                  <c:v>2012-04-16</c:v>
                </c:pt>
                <c:pt idx="22">
                  <c:v>2012-04-23</c:v>
                </c:pt>
                <c:pt idx="23">
                  <c:v>2012-04-30</c:v>
                </c:pt>
                <c:pt idx="24">
                  <c:v>2012-05-07</c:v>
                </c:pt>
                <c:pt idx="25">
                  <c:v>2012-05-14</c:v>
                </c:pt>
                <c:pt idx="26">
                  <c:v>2012-05-21</c:v>
                </c:pt>
                <c:pt idx="27">
                  <c:v>2012-05-28</c:v>
                </c:pt>
                <c:pt idx="28">
                  <c:v>2012-06-04</c:v>
                </c:pt>
                <c:pt idx="29">
                  <c:v>2012-06-11</c:v>
                </c:pt>
                <c:pt idx="30">
                  <c:v>2012-06-18</c:v>
                </c:pt>
                <c:pt idx="31">
                  <c:v>2012-06-25</c:v>
                </c:pt>
                <c:pt idx="32">
                  <c:v>2012-07-02</c:v>
                </c:pt>
                <c:pt idx="33">
                  <c:v>2012-07-09</c:v>
                </c:pt>
                <c:pt idx="34">
                  <c:v>2012-07-16</c:v>
                </c:pt>
                <c:pt idx="35">
                  <c:v>2012-07-23</c:v>
                </c:pt>
                <c:pt idx="36">
                  <c:v>2012-07-30</c:v>
                </c:pt>
                <c:pt idx="37">
                  <c:v>2012-08-06</c:v>
                </c:pt>
                <c:pt idx="38">
                  <c:v>2012-08-13</c:v>
                </c:pt>
                <c:pt idx="39">
                  <c:v>2012-08-20</c:v>
                </c:pt>
                <c:pt idx="40">
                  <c:v>2012-08-27</c:v>
                </c:pt>
                <c:pt idx="41">
                  <c:v>2012-09-03</c:v>
                </c:pt>
                <c:pt idx="42">
                  <c:v>2012-09-10</c:v>
                </c:pt>
                <c:pt idx="43">
                  <c:v>2012-09-17</c:v>
                </c:pt>
                <c:pt idx="44">
                  <c:v>2012-09-24</c:v>
                </c:pt>
                <c:pt idx="45">
                  <c:v>2012-10-01</c:v>
                </c:pt>
                <c:pt idx="46">
                  <c:v>2012-10-08</c:v>
                </c:pt>
                <c:pt idx="47">
                  <c:v>2012-10-15</c:v>
                </c:pt>
                <c:pt idx="48">
                  <c:v>2012-10-22</c:v>
                </c:pt>
                <c:pt idx="49">
                  <c:v>2012-10-29</c:v>
                </c:pt>
                <c:pt idx="50">
                  <c:v>2012-11-05</c:v>
                </c:pt>
                <c:pt idx="51">
                  <c:v>2012-11-12</c:v>
                </c:pt>
                <c:pt idx="52">
                  <c:v>2012-11-19</c:v>
                </c:pt>
                <c:pt idx="53">
                  <c:v>2012-11-26</c:v>
                </c:pt>
                <c:pt idx="54">
                  <c:v>2012-12-03</c:v>
                </c:pt>
                <c:pt idx="55">
                  <c:v>2012-12-10</c:v>
                </c:pt>
                <c:pt idx="56">
                  <c:v>2012-12-17</c:v>
                </c:pt>
                <c:pt idx="57">
                  <c:v>2012-12-24</c:v>
                </c:pt>
                <c:pt idx="58">
                  <c:v>2012-12-31</c:v>
                </c:pt>
                <c:pt idx="59">
                  <c:v>2013-01-07</c:v>
                </c:pt>
                <c:pt idx="60">
                  <c:v>2013-01-14</c:v>
                </c:pt>
                <c:pt idx="61">
                  <c:v>2013-01-21</c:v>
                </c:pt>
                <c:pt idx="62">
                  <c:v>2013-01-28</c:v>
                </c:pt>
                <c:pt idx="63">
                  <c:v>2013-02-04</c:v>
                </c:pt>
                <c:pt idx="64">
                  <c:v>2013-02-11</c:v>
                </c:pt>
                <c:pt idx="65">
                  <c:v>2013-02-18</c:v>
                </c:pt>
                <c:pt idx="66">
                  <c:v>2013-02-25</c:v>
                </c:pt>
                <c:pt idx="67">
                  <c:v>2013-03-04</c:v>
                </c:pt>
                <c:pt idx="68">
                  <c:v>2013-03-11</c:v>
                </c:pt>
                <c:pt idx="69">
                  <c:v>2013-03-18</c:v>
                </c:pt>
                <c:pt idx="70">
                  <c:v>2013-03-25</c:v>
                </c:pt>
                <c:pt idx="71">
                  <c:v>2013-04-01</c:v>
                </c:pt>
                <c:pt idx="72">
                  <c:v>2013-04-08</c:v>
                </c:pt>
                <c:pt idx="73">
                  <c:v>2013-04-15</c:v>
                </c:pt>
                <c:pt idx="74">
                  <c:v>2013-04-22</c:v>
                </c:pt>
                <c:pt idx="75">
                  <c:v>2013-04-29</c:v>
                </c:pt>
                <c:pt idx="76">
                  <c:v>2013-05-06</c:v>
                </c:pt>
                <c:pt idx="77">
                  <c:v>2013-05-13</c:v>
                </c:pt>
                <c:pt idx="78">
                  <c:v>2013-05-20</c:v>
                </c:pt>
                <c:pt idx="79">
                  <c:v>2013-05-27</c:v>
                </c:pt>
                <c:pt idx="80">
                  <c:v>2013-06-03</c:v>
                </c:pt>
                <c:pt idx="81">
                  <c:v>2013-06-10</c:v>
                </c:pt>
                <c:pt idx="82">
                  <c:v>2013-06-17</c:v>
                </c:pt>
                <c:pt idx="83">
                  <c:v>2013-06-24</c:v>
                </c:pt>
                <c:pt idx="84">
                  <c:v>2013-07-01</c:v>
                </c:pt>
                <c:pt idx="85">
                  <c:v>2013-07-08</c:v>
                </c:pt>
                <c:pt idx="86">
                  <c:v>2013-07-15</c:v>
                </c:pt>
                <c:pt idx="87">
                  <c:v>2013-07-22</c:v>
                </c:pt>
                <c:pt idx="88">
                  <c:v>2013-07-29</c:v>
                </c:pt>
                <c:pt idx="89">
                  <c:v>2013-08-05</c:v>
                </c:pt>
                <c:pt idx="90">
                  <c:v>2013-08-12</c:v>
                </c:pt>
                <c:pt idx="91">
                  <c:v>2013-08-19</c:v>
                </c:pt>
                <c:pt idx="92">
                  <c:v>2013-08-26</c:v>
                </c:pt>
                <c:pt idx="93">
                  <c:v>2013-09-02</c:v>
                </c:pt>
                <c:pt idx="94">
                  <c:v>2013-09-09</c:v>
                </c:pt>
                <c:pt idx="95">
                  <c:v>2013-09-16</c:v>
                </c:pt>
                <c:pt idx="96">
                  <c:v>2013-09-23</c:v>
                </c:pt>
                <c:pt idx="97">
                  <c:v>2013-09-30</c:v>
                </c:pt>
                <c:pt idx="98">
                  <c:v>2013-10-07</c:v>
                </c:pt>
                <c:pt idx="99">
                  <c:v>2013-10-14</c:v>
                </c:pt>
                <c:pt idx="100">
                  <c:v>2013-10-21</c:v>
                </c:pt>
                <c:pt idx="101">
                  <c:v>2013-10-28</c:v>
                </c:pt>
                <c:pt idx="102">
                  <c:v>2013-11-04</c:v>
                </c:pt>
                <c:pt idx="103">
                  <c:v>2013-11-11</c:v>
                </c:pt>
                <c:pt idx="104">
                  <c:v>2013-11-18</c:v>
                </c:pt>
                <c:pt idx="105">
                  <c:v>2013-11-25</c:v>
                </c:pt>
                <c:pt idx="106">
                  <c:v>2013-12-02</c:v>
                </c:pt>
                <c:pt idx="107">
                  <c:v>2013-12-09</c:v>
                </c:pt>
                <c:pt idx="108">
                  <c:v>2013-12-16</c:v>
                </c:pt>
                <c:pt idx="109">
                  <c:v>2013-12-23</c:v>
                </c:pt>
                <c:pt idx="110">
                  <c:v>2013-12-30</c:v>
                </c:pt>
                <c:pt idx="111">
                  <c:v>2014-01-06</c:v>
                </c:pt>
                <c:pt idx="112">
                  <c:v>2014-01-13</c:v>
                </c:pt>
                <c:pt idx="113">
                  <c:v>2014-01-20</c:v>
                </c:pt>
                <c:pt idx="114">
                  <c:v>2014-01-27</c:v>
                </c:pt>
                <c:pt idx="115">
                  <c:v>2014-02-03</c:v>
                </c:pt>
                <c:pt idx="116">
                  <c:v>2014-02-10</c:v>
                </c:pt>
                <c:pt idx="117">
                  <c:v>2014-02-17</c:v>
                </c:pt>
                <c:pt idx="118">
                  <c:v>2014-02-24</c:v>
                </c:pt>
              </c:strCache>
            </c:strRef>
          </c:cat>
          <c:val>
            <c:numRef>
              <c:f>Data!$E$3:$E$121</c:f>
              <c:numCache>
                <c:formatCode>General</c:formatCode>
                <c:ptCount val="119"/>
                <c:pt idx="0">
                  <c:v>10.977571436507899</c:v>
                </c:pt>
                <c:pt idx="1">
                  <c:v>11.105920322709199</c:v>
                </c:pt>
                <c:pt idx="2">
                  <c:v>12.118034694285701</c:v>
                </c:pt>
                <c:pt idx="3">
                  <c:v>12.848857995366201</c:v>
                </c:pt>
                <c:pt idx="4">
                  <c:v>12.565296032284399</c:v>
                </c:pt>
                <c:pt idx="5">
                  <c:v>11.4748348347347</c:v>
                </c:pt>
                <c:pt idx="6">
                  <c:v>12.7523720700094</c:v>
                </c:pt>
                <c:pt idx="7">
                  <c:v>12.5084990823583</c:v>
                </c:pt>
                <c:pt idx="8">
                  <c:v>12.4946969178082</c:v>
                </c:pt>
                <c:pt idx="9">
                  <c:v>12.381341780645201</c:v>
                </c:pt>
                <c:pt idx="10">
                  <c:v>13.916314284761899</c:v>
                </c:pt>
                <c:pt idx="11">
                  <c:v>14.2467235525819</c:v>
                </c:pt>
                <c:pt idx="12">
                  <c:v>12.6271382829106</c:v>
                </c:pt>
                <c:pt idx="13">
                  <c:v>11.851299417558099</c:v>
                </c:pt>
                <c:pt idx="14">
                  <c:v>11.7360852439891</c:v>
                </c:pt>
                <c:pt idx="15">
                  <c:v>12.149048830042499</c:v>
                </c:pt>
                <c:pt idx="16">
                  <c:v>11.1428558504757</c:v>
                </c:pt>
                <c:pt idx="17">
                  <c:v>10.4397870464581</c:v>
                </c:pt>
                <c:pt idx="18">
                  <c:v>9.6664251204106293</c:v>
                </c:pt>
                <c:pt idx="19">
                  <c:v>9.9255057804190798</c:v>
                </c:pt>
                <c:pt idx="20">
                  <c:v>9.7768244464239302</c:v>
                </c:pt>
                <c:pt idx="21">
                  <c:v>10.0398691224086</c:v>
                </c:pt>
                <c:pt idx="22">
                  <c:v>10.057440141829</c:v>
                </c:pt>
                <c:pt idx="23">
                  <c:v>9.6023011613520701</c:v>
                </c:pt>
                <c:pt idx="24">
                  <c:v>9.1614575894651509</c:v>
                </c:pt>
                <c:pt idx="25">
                  <c:v>8.70645338393774</c:v>
                </c:pt>
                <c:pt idx="26">
                  <c:v>7.9506403623433801</c:v>
                </c:pt>
                <c:pt idx="27">
                  <c:v>7.9797225708410302</c:v>
                </c:pt>
                <c:pt idx="28">
                  <c:v>8.4271701504782204</c:v>
                </c:pt>
                <c:pt idx="29">
                  <c:v>7.9530360207898996</c:v>
                </c:pt>
                <c:pt idx="30">
                  <c:v>8.1111063525487204</c:v>
                </c:pt>
                <c:pt idx="31">
                  <c:v>7.9566911044206199</c:v>
                </c:pt>
                <c:pt idx="32">
                  <c:v>8.1693766008506596</c:v>
                </c:pt>
                <c:pt idx="33">
                  <c:v>8.1280715202311598</c:v>
                </c:pt>
                <c:pt idx="34">
                  <c:v>8.0084333815041209</c:v>
                </c:pt>
                <c:pt idx="35">
                  <c:v>7.8961918003489098</c:v>
                </c:pt>
                <c:pt idx="36">
                  <c:v>7.9135332559783098</c:v>
                </c:pt>
                <c:pt idx="37">
                  <c:v>7.8894905676695402</c:v>
                </c:pt>
                <c:pt idx="38">
                  <c:v>7.8166377179400399</c:v>
                </c:pt>
                <c:pt idx="39">
                  <c:v>7.7191211679914904</c:v>
                </c:pt>
                <c:pt idx="40">
                  <c:v>8.0761270050647607</c:v>
                </c:pt>
                <c:pt idx="41">
                  <c:v>7.9812040361819196</c:v>
                </c:pt>
                <c:pt idx="42">
                  <c:v>8.2098196061316706</c:v>
                </c:pt>
                <c:pt idx="43">
                  <c:v>8.6102268792075396</c:v>
                </c:pt>
                <c:pt idx="44">
                  <c:v>9.0775051416753101</c:v>
                </c:pt>
                <c:pt idx="45">
                  <c:v>9.2052055981867191</c:v>
                </c:pt>
                <c:pt idx="46">
                  <c:v>9.6121944294907191</c:v>
                </c:pt>
                <c:pt idx="47">
                  <c:v>9.6849269359529195</c:v>
                </c:pt>
                <c:pt idx="48">
                  <c:v>10.187713199177299</c:v>
                </c:pt>
                <c:pt idx="49">
                  <c:v>10.758027747593999</c:v>
                </c:pt>
                <c:pt idx="50">
                  <c:v>10.91512827</c:v>
                </c:pt>
                <c:pt idx="51">
                  <c:v>10.8432824938695</c:v>
                </c:pt>
                <c:pt idx="52">
                  <c:v>11.074948610339399</c:v>
                </c:pt>
                <c:pt idx="53">
                  <c:v>12.0550377229406</c:v>
                </c:pt>
                <c:pt idx="54">
                  <c:v>12.4020822572821</c:v>
                </c:pt>
                <c:pt idx="55">
                  <c:v>12.3293090962768</c:v>
                </c:pt>
                <c:pt idx="56">
                  <c:v>11.539564769387001</c:v>
                </c:pt>
                <c:pt idx="57">
                  <c:v>11.0921458637893</c:v>
                </c:pt>
                <c:pt idx="58">
                  <c:v>11.212093023687499</c:v>
                </c:pt>
                <c:pt idx="59">
                  <c:v>11.6453676181474</c:v>
                </c:pt>
                <c:pt idx="60">
                  <c:v>13.359399223466101</c:v>
                </c:pt>
                <c:pt idx="61">
                  <c:v>12.9275377745781</c:v>
                </c:pt>
                <c:pt idx="62">
                  <c:v>11.5090661135849</c:v>
                </c:pt>
                <c:pt idx="63">
                  <c:v>12.062614757857</c:v>
                </c:pt>
                <c:pt idx="64">
                  <c:v>11.9103968292597</c:v>
                </c:pt>
                <c:pt idx="65">
                  <c:v>12.1260727668769</c:v>
                </c:pt>
                <c:pt idx="66">
                  <c:v>12.0407912792618</c:v>
                </c:pt>
                <c:pt idx="67">
                  <c:v>10.932888679257299</c:v>
                </c:pt>
                <c:pt idx="68">
                  <c:v>11.873850859709799</c:v>
                </c:pt>
                <c:pt idx="69">
                  <c:v>11.829853151437</c:v>
                </c:pt>
                <c:pt idx="70">
                  <c:v>11.9955712350292</c:v>
                </c:pt>
                <c:pt idx="71">
                  <c:v>11.3661760262959</c:v>
                </c:pt>
                <c:pt idx="72">
                  <c:v>10.175079895325201</c:v>
                </c:pt>
                <c:pt idx="73">
                  <c:v>9.08577737620422</c:v>
                </c:pt>
                <c:pt idx="74">
                  <c:v>8.7902374978335391</c:v>
                </c:pt>
                <c:pt idx="75">
                  <c:v>8.5263659255417092</c:v>
                </c:pt>
                <c:pt idx="76">
                  <c:v>8.5671908636363607</c:v>
                </c:pt>
                <c:pt idx="77">
                  <c:v>8.8888161157084706</c:v>
                </c:pt>
                <c:pt idx="78">
                  <c:v>8.6381081167165501</c:v>
                </c:pt>
                <c:pt idx="79">
                  <c:v>8.5120781732794608</c:v>
                </c:pt>
                <c:pt idx="80">
                  <c:v>7.9082885175417896</c:v>
                </c:pt>
                <c:pt idx="81">
                  <c:v>8.2428242152571691</c:v>
                </c:pt>
                <c:pt idx="82">
                  <c:v>8.0241859910101105</c:v>
                </c:pt>
                <c:pt idx="83">
                  <c:v>7.8895325197121497</c:v>
                </c:pt>
                <c:pt idx="84">
                  <c:v>7.7784191454097504</c:v>
                </c:pt>
                <c:pt idx="85">
                  <c:v>7.6221694711724899</c:v>
                </c:pt>
                <c:pt idx="86">
                  <c:v>7.7117143117695504</c:v>
                </c:pt>
                <c:pt idx="87">
                  <c:v>7.7105898818497902</c:v>
                </c:pt>
                <c:pt idx="88">
                  <c:v>7.6150566711691896</c:v>
                </c:pt>
                <c:pt idx="89">
                  <c:v>7.4596022201046104</c:v>
                </c:pt>
                <c:pt idx="90">
                  <c:v>7.54419268936444</c:v>
                </c:pt>
                <c:pt idx="91">
                  <c:v>7.6289084957611504</c:v>
                </c:pt>
                <c:pt idx="92">
                  <c:v>7.62573996484267</c:v>
                </c:pt>
                <c:pt idx="93">
                  <c:v>7.8808399588875604</c:v>
                </c:pt>
                <c:pt idx="94">
                  <c:v>8.5502656562442301</c:v>
                </c:pt>
                <c:pt idx="95">
                  <c:v>8.6941859257500003</c:v>
                </c:pt>
                <c:pt idx="96">
                  <c:v>8.41428948309572</c:v>
                </c:pt>
                <c:pt idx="97">
                  <c:v>8.5802756922713392</c:v>
                </c:pt>
                <c:pt idx="98">
                  <c:v>9.0861701291744001</c:v>
                </c:pt>
                <c:pt idx="99">
                  <c:v>9.3983413852949393</c:v>
                </c:pt>
                <c:pt idx="100">
                  <c:v>9.0868749536324795</c:v>
                </c:pt>
                <c:pt idx="101">
                  <c:v>9.6617658524649492</c:v>
                </c:pt>
                <c:pt idx="102">
                  <c:v>10.218820300492199</c:v>
                </c:pt>
                <c:pt idx="103">
                  <c:v>10.501370373842301</c:v>
                </c:pt>
                <c:pt idx="104">
                  <c:v>11.2255945847993</c:v>
                </c:pt>
                <c:pt idx="105">
                  <c:v>11.102998122663299</c:v>
                </c:pt>
                <c:pt idx="106">
                  <c:v>11.1198831216361</c:v>
                </c:pt>
                <c:pt idx="107">
                  <c:v>11.1209906659438</c:v>
                </c:pt>
                <c:pt idx="108">
                  <c:v>10.9936419204698</c:v>
                </c:pt>
                <c:pt idx="109">
                  <c:v>11.1203094785026</c:v>
                </c:pt>
                <c:pt idx="110">
                  <c:v>11.384963998903901</c:v>
                </c:pt>
                <c:pt idx="111">
                  <c:v>11.010759673725101</c:v>
                </c:pt>
                <c:pt idx="112">
                  <c:v>10.7501651640926</c:v>
                </c:pt>
                <c:pt idx="113">
                  <c:v>11.1477634427608</c:v>
                </c:pt>
                <c:pt idx="114">
                  <c:v>11.2916589598439</c:v>
                </c:pt>
                <c:pt idx="115">
                  <c:v>10.909722020049699</c:v>
                </c:pt>
                <c:pt idx="116">
                  <c:v>10.999139766605801</c:v>
                </c:pt>
                <c:pt idx="117">
                  <c:v>10.460879206789199</c:v>
                </c:pt>
                <c:pt idx="118">
                  <c:v>8.0353292157887601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3-4FDA-B549-F5A80548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128491"/>
        <c:axId val="23386389"/>
      </c:lineChart>
      <c:catAx>
        <c:axId val="161284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386389"/>
        <c:crosses val="autoZero"/>
        <c:auto val="1"/>
        <c:lblAlgn val="ctr"/>
        <c:lblOffset val="100"/>
        <c:noMultiLvlLbl val="0"/>
      </c:catAx>
      <c:valAx>
        <c:axId val="233863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Energy (kWh)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128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Data!$AI$2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CCB-432D-9DA3-DD3749BFAF94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CCB-432D-9DA3-DD3749BFAF94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CCB-432D-9DA3-DD3749BFAF9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CCB-432D-9DA3-DD3749BFAF9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CCB-432D-9DA3-DD3749BFAF9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CCB-432D-9DA3-DD3749BFAF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Data!$AH$3:$AH$5</c:f>
              <c:strCache>
                <c:ptCount val="3"/>
                <c:pt idx="0">
                  <c:v>Normal</c:v>
                </c:pt>
                <c:pt idx="1">
                  <c:v>High Consumption</c:v>
                </c:pt>
                <c:pt idx="2">
                  <c:v>Low Consumption</c:v>
                </c:pt>
              </c:strCache>
            </c:strRef>
          </c:cat>
          <c:val>
            <c:numRef>
              <c:f>Data!$AI$3:$AI$5</c:f>
              <c:numCache>
                <c:formatCode>General</c:formatCode>
                <c:ptCount val="3"/>
                <c:pt idx="0">
                  <c:v>1001372</c:v>
                </c:pt>
                <c:pt idx="1">
                  <c:v>34456</c:v>
                </c:pt>
                <c:pt idx="2">
                  <c:v>12737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CB-432D-9DA3-DD3749BFA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Data!$P$2</c:f>
              <c:strCache>
                <c:ptCount val="1"/>
                <c:pt idx="0">
                  <c:v>anomaly_rate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Data!$N$3:$N$9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Data!$P$3:$P$9</c:f>
              <c:numCache>
                <c:formatCode>General</c:formatCode>
                <c:ptCount val="7"/>
                <c:pt idx="0">
                  <c:v>3.7458695099599999</c:v>
                </c:pt>
                <c:pt idx="1">
                  <c:v>3.7451257945622598</c:v>
                </c:pt>
                <c:pt idx="2">
                  <c:v>3.8940955326552098</c:v>
                </c:pt>
                <c:pt idx="3">
                  <c:v>3.5146894459524201</c:v>
                </c:pt>
                <c:pt idx="4">
                  <c:v>4.65423589253224</c:v>
                </c:pt>
                <c:pt idx="5">
                  <c:v>5.2018586687586801</c:v>
                </c:pt>
                <c:pt idx="6">
                  <c:v>6.7626246381473099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8-459A-BF69-801D04F1C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642492"/>
        <c:axId val="52107087"/>
      </c:barChart>
      <c:catAx>
        <c:axId val="83642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107087"/>
        <c:crosses val="autoZero"/>
        <c:auto val="1"/>
        <c:lblAlgn val="ctr"/>
        <c:lblOffset val="100"/>
        <c:noMultiLvlLbl val="0"/>
      </c:catAx>
      <c:valAx>
        <c:axId val="521070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Anomaly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6424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Data!$T$2</c:f>
              <c:strCache>
                <c:ptCount val="1"/>
                <c:pt idx="0">
                  <c:v>anomaly_count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Data!$R$3:$R$12</c:f>
              <c:strCache>
                <c:ptCount val="10"/>
                <c:pt idx="0">
                  <c:v>MAC004292</c:v>
                </c:pt>
                <c:pt idx="1">
                  <c:v>MAC000248</c:v>
                </c:pt>
                <c:pt idx="2">
                  <c:v>MAC004445</c:v>
                </c:pt>
                <c:pt idx="3">
                  <c:v>MAC005440</c:v>
                </c:pt>
                <c:pt idx="4">
                  <c:v>MAC004896</c:v>
                </c:pt>
                <c:pt idx="5">
                  <c:v>MAC000237</c:v>
                </c:pt>
                <c:pt idx="6">
                  <c:v>MAC002939</c:v>
                </c:pt>
                <c:pt idx="7">
                  <c:v>MAC000056</c:v>
                </c:pt>
                <c:pt idx="8">
                  <c:v>MAC004576</c:v>
                </c:pt>
                <c:pt idx="9">
                  <c:v>MAC004579</c:v>
                </c:pt>
              </c:strCache>
            </c:strRef>
          </c:cat>
          <c:val>
            <c:numRef>
              <c:f>Data!$T$3:$T$12</c:f>
              <c:numCache>
                <c:formatCode>General</c:formatCode>
                <c:ptCount val="10"/>
                <c:pt idx="0">
                  <c:v>95</c:v>
                </c:pt>
                <c:pt idx="1">
                  <c:v>94</c:v>
                </c:pt>
                <c:pt idx="2">
                  <c:v>79</c:v>
                </c:pt>
                <c:pt idx="3">
                  <c:v>77</c:v>
                </c:pt>
                <c:pt idx="4">
                  <c:v>73</c:v>
                </c:pt>
                <c:pt idx="5">
                  <c:v>72</c:v>
                </c:pt>
                <c:pt idx="6">
                  <c:v>71</c:v>
                </c:pt>
                <c:pt idx="7">
                  <c:v>70</c:v>
                </c:pt>
                <c:pt idx="8">
                  <c:v>69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F5C-AE5C-FC70282EC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71731"/>
        <c:axId val="62195234"/>
      </c:barChart>
      <c:catAx>
        <c:axId val="347717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195234"/>
        <c:crosses val="autoZero"/>
        <c:auto val="1"/>
        <c:lblAlgn val="ctr"/>
        <c:lblOffset val="100"/>
        <c:noMultiLvlLbl val="0"/>
      </c:catAx>
      <c:valAx>
        <c:axId val="621952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71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13</xdr:col>
      <xdr:colOff>41340</xdr:colOff>
      <xdr:row>32</xdr:row>
      <xdr:rowOff>161440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19</xdr:row>
      <xdr:rowOff>0</xdr:rowOff>
    </xdr:from>
    <xdr:to>
      <xdr:col>31</xdr:col>
      <xdr:colOff>34990</xdr:colOff>
      <xdr:row>32</xdr:row>
      <xdr:rowOff>161440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13</xdr:col>
      <xdr:colOff>41340</xdr:colOff>
      <xdr:row>52</xdr:row>
      <xdr:rowOff>21740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38</xdr:row>
      <xdr:rowOff>0</xdr:rowOff>
    </xdr:from>
    <xdr:to>
      <xdr:col>31</xdr:col>
      <xdr:colOff>34990</xdr:colOff>
      <xdr:row>52</xdr:row>
      <xdr:rowOff>21740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0"/>
  <sheetViews>
    <sheetView showGridLines="0" tabSelected="1" topLeftCell="A9" zoomScaleNormal="100" workbookViewId="0">
      <selection activeCell="P4" sqref="P4:S4"/>
    </sheetView>
  </sheetViews>
  <sheetFormatPr defaultColWidth="8.6328125" defaultRowHeight="14.5" x14ac:dyDescent="0.35"/>
  <cols>
    <col min="1" max="3" width="3.6328125" customWidth="1"/>
    <col min="4" max="4" width="10.08984375" customWidth="1"/>
    <col min="5" max="8" width="3.6328125" customWidth="1"/>
    <col min="9" max="9" width="7.54296875" customWidth="1"/>
    <col min="10" max="18" width="3.6328125" customWidth="1"/>
    <col min="19" max="19" width="14.08984375" customWidth="1"/>
    <col min="20" max="34" width="3.6328125" customWidth="1"/>
  </cols>
  <sheetData>
    <row r="1" spans="1:34" ht="15" customHeight="1" x14ac:dyDescent="0.35">
      <c r="A1" s="11" t="s">
        <v>287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spans="1:34" ht="15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1:34" ht="15" customHeight="1" x14ac:dyDescent="0.35">
      <c r="A3" s="10" t="s">
        <v>0</v>
      </c>
      <c r="B3" s="10"/>
      <c r="C3" s="10"/>
      <c r="D3" s="10"/>
      <c r="E3" s="12"/>
      <c r="F3" s="9" t="s">
        <v>1</v>
      </c>
      <c r="G3" s="9"/>
      <c r="H3" s="9"/>
      <c r="I3" s="9"/>
      <c r="J3" s="12"/>
      <c r="K3" s="8" t="s">
        <v>2</v>
      </c>
      <c r="L3" s="8"/>
      <c r="M3" s="8"/>
      <c r="N3" s="8"/>
      <c r="O3" s="12"/>
      <c r="P3" s="7" t="s">
        <v>3</v>
      </c>
      <c r="Q3" s="7"/>
      <c r="R3" s="7"/>
      <c r="S3" s="7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</row>
    <row r="4" spans="1:34" ht="15.5" x14ac:dyDescent="0.35">
      <c r="A4" s="6" t="s">
        <v>79</v>
      </c>
      <c r="B4" s="6"/>
      <c r="C4" s="6"/>
      <c r="D4" s="6"/>
      <c r="E4" s="12"/>
      <c r="F4" s="5" t="s">
        <v>80</v>
      </c>
      <c r="G4" s="5"/>
      <c r="H4" s="5"/>
      <c r="I4" s="5"/>
      <c r="J4" s="12"/>
      <c r="K4" s="4" t="s">
        <v>109</v>
      </c>
      <c r="L4" s="4"/>
      <c r="M4" s="4"/>
      <c r="N4" s="4"/>
      <c r="O4" s="12"/>
      <c r="P4" s="3" t="s">
        <v>75</v>
      </c>
      <c r="Q4" s="3"/>
      <c r="R4" s="3"/>
      <c r="S4" s="3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ht="19.5" customHeight="1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6" spans="1:34" ht="13.5" customHeight="1" x14ac:dyDescent="0.35">
      <c r="A6" s="2" t="s">
        <v>8</v>
      </c>
      <c r="B6" s="2"/>
      <c r="C6" s="2"/>
      <c r="D6" s="2"/>
      <c r="E6" s="12"/>
      <c r="F6" s="2" t="s">
        <v>8</v>
      </c>
      <c r="G6" s="2"/>
      <c r="H6" s="2"/>
      <c r="I6" s="2"/>
      <c r="J6" s="12"/>
      <c r="K6" s="2" t="s">
        <v>9</v>
      </c>
      <c r="L6" s="2"/>
      <c r="M6" s="2"/>
      <c r="N6" s="2"/>
      <c r="O6" s="12"/>
      <c r="P6" s="2" t="s">
        <v>10</v>
      </c>
      <c r="Q6" s="2"/>
      <c r="R6" s="2"/>
      <c r="S6" s="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</row>
    <row r="7" spans="1:34" ht="18" x14ac:dyDescent="0.35">
      <c r="A7" s="1">
        <f>IF(A4="All Months",Data!$B$11,INDEX(Data!$J$3:$J$30,MATCH(A4,Data!$I$3:$I$30,0)))</f>
        <v>12.149746875641</v>
      </c>
      <c r="B7" s="1"/>
      <c r="C7" s="1"/>
      <c r="D7" s="1"/>
      <c r="E7" s="12"/>
      <c r="F7" s="14">
        <f>IF(F4="All Days",Data!$B$11,INDEX(Data!$O$3:$O$9,MATCH(F4,Data!$N$3:$N$9,0)))</f>
        <v>9.6058545482613091</v>
      </c>
      <c r="G7" s="14"/>
      <c r="H7" s="14"/>
      <c r="I7" s="14"/>
      <c r="J7" s="12"/>
      <c r="K7" s="15">
        <f>IF(K4="All Households",Data!$B$7,INDEX(Data!$T$3:$T$12,MATCH(K4,Data!$R$3:$R$12,0)))</f>
        <v>73</v>
      </c>
      <c r="L7" s="15"/>
      <c r="M7" s="15"/>
      <c r="N7" s="15"/>
      <c r="O7" s="12"/>
      <c r="P7" s="16">
        <f>IF(P4="All Status",Data!$B$4,INDEX(Data!$AI$3:$AI$5,MATCH(P4,Data!$AH$3:$AH$5,0)))</f>
        <v>1001372</v>
      </c>
      <c r="Q7" s="16"/>
      <c r="R7" s="16"/>
      <c r="S7" s="16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 ht="15" customHeight="1" x14ac:dyDescent="0.35">
      <c r="A8" s="2" t="s">
        <v>11</v>
      </c>
      <c r="B8" s="2"/>
      <c r="C8" s="2"/>
      <c r="D8" s="2"/>
      <c r="E8" s="12"/>
      <c r="F8" s="2" t="s">
        <v>12</v>
      </c>
      <c r="G8" s="2"/>
      <c r="H8" s="2"/>
      <c r="I8" s="2"/>
      <c r="J8" s="12"/>
      <c r="K8" s="2" t="s">
        <v>12</v>
      </c>
      <c r="L8" s="2"/>
      <c r="M8" s="2"/>
      <c r="N8" s="2"/>
      <c r="O8" s="12"/>
      <c r="P8" s="2" t="s">
        <v>13</v>
      </c>
      <c r="Q8" s="2"/>
      <c r="R8" s="2"/>
      <c r="S8" s="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</row>
    <row r="9" spans="1:34" ht="21.75" customHeight="1" x14ac:dyDescent="0.35">
      <c r="A9" s="17">
        <f>IF(A4="All Months",Data!$B$7,INDEX(Data!$K$3:$K$30,MATCH(A4,Data!$I$3:$I$30,0)))</f>
        <v>338</v>
      </c>
      <c r="B9" s="17"/>
      <c r="C9" s="17"/>
      <c r="D9" s="17"/>
      <c r="E9" s="12"/>
      <c r="F9" s="18">
        <f>IF(F4="All Days",Data!$B$10,INDEX(Data!$P$3:$P$9,MATCH(F4,Data!$N$3:$N$9,0)))</f>
        <v>3.7451257945622598</v>
      </c>
      <c r="G9" s="18"/>
      <c r="H9" s="18"/>
      <c r="I9" s="18"/>
      <c r="J9" s="12"/>
      <c r="K9" s="19">
        <f>IF(K4="All Households",Data!$B$10,INDEX(Data!$U$3:$U$12,MATCH(K4,Data!$R$3:$R$12,0)))</f>
        <v>10.25</v>
      </c>
      <c r="L9" s="19"/>
      <c r="M9" s="19"/>
      <c r="N9" s="19"/>
      <c r="O9" s="12"/>
      <c r="P9" s="20">
        <f>IF(P4="All Status",100,INDEX(Data!$AI$3:$AI$5,MATCH(P4,Data!$AH$3:$AH$5,0))/Data!$B$4*100)</f>
        <v>95.499277584126872</v>
      </c>
      <c r="Q9" s="20"/>
      <c r="R9" s="20"/>
      <c r="S9" s="20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</row>
    <row r="10" spans="1:34" ht="6" customHeight="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ht="12.75" customHeight="1" x14ac:dyDescent="0.3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 ht="21.75" customHeight="1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ht="12.75" customHeight="1" x14ac:dyDescent="0.35">
      <c r="A13" s="22" t="s">
        <v>14</v>
      </c>
      <c r="B13" s="22"/>
      <c r="C13" s="22"/>
      <c r="D13" s="22"/>
      <c r="F13" s="23" t="s">
        <v>15</v>
      </c>
      <c r="G13" s="23"/>
      <c r="H13" s="23"/>
      <c r="I13" s="23"/>
      <c r="K13" s="24" t="s">
        <v>16</v>
      </c>
      <c r="L13" s="24"/>
      <c r="M13" s="24"/>
      <c r="N13" s="24"/>
      <c r="P13" s="25" t="s">
        <v>17</v>
      </c>
      <c r="Q13" s="25"/>
      <c r="R13" s="25"/>
      <c r="S13" s="25"/>
      <c r="U13" s="26" t="s">
        <v>18</v>
      </c>
      <c r="V13" s="26"/>
      <c r="W13" s="26"/>
      <c r="X13" s="26"/>
      <c r="Z13" s="23" t="s">
        <v>19</v>
      </c>
      <c r="AA13" s="23"/>
      <c r="AB13" s="23"/>
      <c r="AC13" s="23"/>
    </row>
    <row r="14" spans="1:34" ht="21.75" customHeight="1" x14ac:dyDescent="0.35">
      <c r="A14" s="27" t="str">
        <f>Data!B3</f>
        <v>1636</v>
      </c>
      <c r="B14" s="27"/>
      <c r="C14" s="27"/>
      <c r="D14" s="27"/>
      <c r="F14" s="28" t="str">
        <f>Data!B4</f>
        <v>1048565</v>
      </c>
      <c r="G14" s="28"/>
      <c r="H14" s="28"/>
      <c r="I14" s="28"/>
      <c r="K14" s="29" t="str">
        <f>Data!B7</f>
        <v>47193</v>
      </c>
      <c r="L14" s="29"/>
      <c r="M14" s="29"/>
      <c r="N14" s="29"/>
      <c r="P14" s="30" t="str">
        <f>Data!B10&amp;"%"</f>
        <v>4.5%</v>
      </c>
      <c r="Q14" s="30"/>
      <c r="R14" s="30"/>
      <c r="S14" s="30"/>
      <c r="U14" s="31" t="str">
        <f>Data!B8</f>
        <v>34456</v>
      </c>
      <c r="V14" s="31"/>
      <c r="W14" s="31"/>
      <c r="X14" s="31"/>
      <c r="Z14" s="28" t="str">
        <f>Data!B9</f>
        <v>12737</v>
      </c>
      <c r="AA14" s="28"/>
      <c r="AB14" s="28"/>
      <c r="AC14" s="28"/>
    </row>
    <row r="15" spans="1:34" ht="9.75" customHeight="1" x14ac:dyDescent="0.35">
      <c r="A15" s="27"/>
      <c r="B15" s="27"/>
      <c r="C15" s="27"/>
      <c r="D15" s="27"/>
      <c r="F15" s="28"/>
      <c r="G15" s="28"/>
      <c r="H15" s="28"/>
      <c r="I15" s="28"/>
      <c r="K15" s="29"/>
      <c r="L15" s="29"/>
      <c r="M15" s="29"/>
      <c r="N15" s="29"/>
      <c r="P15" s="30"/>
      <c r="Q15" s="30"/>
      <c r="R15" s="30"/>
      <c r="S15" s="30"/>
      <c r="U15" s="31"/>
      <c r="V15" s="31"/>
      <c r="W15" s="31"/>
      <c r="X15" s="31"/>
      <c r="Z15" s="28"/>
      <c r="AA15" s="28"/>
      <c r="AB15" s="28"/>
      <c r="AC15" s="28"/>
    </row>
    <row r="16" spans="1:34" ht="12" customHeight="1" x14ac:dyDescent="0.35">
      <c r="A16" s="27"/>
      <c r="B16" s="27"/>
      <c r="C16" s="27"/>
      <c r="D16" s="27"/>
      <c r="F16" s="28"/>
      <c r="G16" s="28"/>
      <c r="H16" s="28"/>
      <c r="I16" s="28"/>
      <c r="K16" s="29"/>
      <c r="L16" s="29"/>
      <c r="M16" s="29"/>
      <c r="N16" s="29"/>
      <c r="P16" s="30"/>
      <c r="Q16" s="30"/>
      <c r="R16" s="30"/>
      <c r="S16" s="30"/>
      <c r="U16" s="31"/>
      <c r="V16" s="31"/>
      <c r="W16" s="31"/>
      <c r="X16" s="31"/>
      <c r="Z16" s="28"/>
      <c r="AA16" s="28"/>
      <c r="AB16" s="28"/>
      <c r="AC16" s="28"/>
    </row>
    <row r="17" spans="1:34" x14ac:dyDescent="0.35">
      <c r="A17" s="27"/>
      <c r="B17" s="27"/>
      <c r="C17" s="27"/>
      <c r="D17" s="27"/>
      <c r="F17" s="28"/>
      <c r="G17" s="28"/>
      <c r="H17" s="28"/>
      <c r="I17" s="28"/>
      <c r="K17" s="29"/>
      <c r="L17" s="29"/>
      <c r="M17" s="29"/>
      <c r="N17" s="29"/>
      <c r="P17" s="30"/>
      <c r="Q17" s="30"/>
      <c r="R17" s="30"/>
      <c r="S17" s="30"/>
      <c r="U17" s="31"/>
      <c r="V17" s="31"/>
      <c r="W17" s="31"/>
      <c r="X17" s="31"/>
      <c r="Z17" s="28"/>
      <c r="AA17" s="28"/>
      <c r="AB17" s="28"/>
      <c r="AC17" s="28"/>
    </row>
    <row r="18" spans="1:34" ht="15" customHeight="1" x14ac:dyDescent="0.35"/>
    <row r="19" spans="1:34" ht="15" customHeight="1" x14ac:dyDescent="0.35">
      <c r="A19" s="32" t="s">
        <v>20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 t="s">
        <v>21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pans="1:34" ht="15" customHeight="1" x14ac:dyDescent="0.35"/>
    <row r="21" spans="1:34" ht="15" customHeight="1" x14ac:dyDescent="0.35"/>
    <row r="22" spans="1:34" ht="15" customHeight="1" x14ac:dyDescent="0.35"/>
    <row r="24" spans="1:34" ht="15" customHeight="1" x14ac:dyDescent="0.35"/>
    <row r="30" spans="1:34" ht="15" customHeight="1" x14ac:dyDescent="0.35"/>
    <row r="38" spans="1:34" x14ac:dyDescent="0.35">
      <c r="A38" s="32" t="s">
        <v>22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 t="s">
        <v>23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43" spans="1:34" ht="15" customHeight="1" x14ac:dyDescent="0.35"/>
    <row r="49" spans="1:34" ht="15" customHeight="1" x14ac:dyDescent="0.35"/>
    <row r="50" spans="1:34" ht="15" customHeight="1" x14ac:dyDescent="0.35"/>
    <row r="51" spans="1:34" ht="15" customHeight="1" x14ac:dyDescent="0.35"/>
    <row r="52" spans="1:34" ht="15" customHeight="1" x14ac:dyDescent="0.35"/>
    <row r="53" spans="1:34" ht="15" customHeight="1" x14ac:dyDescent="0.35"/>
    <row r="54" spans="1:34" ht="15" customHeight="1" x14ac:dyDescent="0.35"/>
    <row r="55" spans="1:34" ht="15" customHeight="1" x14ac:dyDescent="0.35"/>
    <row r="56" spans="1:34" ht="15" customHeight="1" x14ac:dyDescent="0.35"/>
    <row r="57" spans="1:34" ht="15" customHeight="1" x14ac:dyDescent="0.35">
      <c r="A57" s="32" t="s">
        <v>24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spans="1:34" ht="15" customHeight="1" x14ac:dyDescent="0.35">
      <c r="A58" s="33" t="s">
        <v>25</v>
      </c>
      <c r="B58" s="33"/>
      <c r="C58" s="33"/>
      <c r="D58" s="33"/>
      <c r="F58" s="33" t="s">
        <v>26</v>
      </c>
      <c r="G58" s="33"/>
      <c r="H58" s="33"/>
      <c r="I58" s="33"/>
      <c r="K58" s="33" t="s">
        <v>27</v>
      </c>
      <c r="L58" s="33"/>
      <c r="M58" s="33"/>
      <c r="N58" s="33"/>
      <c r="P58" s="33" t="s">
        <v>28</v>
      </c>
      <c r="Q58" s="33"/>
      <c r="R58" s="33"/>
      <c r="S58" s="33"/>
      <c r="U58" s="33" t="s">
        <v>29</v>
      </c>
      <c r="V58" s="33"/>
      <c r="W58" s="33"/>
      <c r="Y58" s="33" t="s">
        <v>30</v>
      </c>
      <c r="Z58" s="33"/>
      <c r="AA58" s="33"/>
      <c r="AB58" s="33"/>
      <c r="AD58" s="33" t="s">
        <v>31</v>
      </c>
      <c r="AE58" s="33"/>
      <c r="AF58" s="33"/>
      <c r="AG58" s="33"/>
    </row>
    <row r="59" spans="1:34" ht="15" customHeight="1" x14ac:dyDescent="0.35">
      <c r="A59" s="34" t="str">
        <f>Data!W3</f>
        <v>MAC001372</v>
      </c>
      <c r="B59" s="34"/>
      <c r="C59" s="34"/>
      <c r="D59" s="34"/>
      <c r="F59" s="34" t="str">
        <f>Data!X3</f>
        <v>2013-11-29</v>
      </c>
      <c r="G59" s="34"/>
      <c r="H59" s="34"/>
      <c r="I59" s="34"/>
      <c r="K59" s="34">
        <f>Data!Y3</f>
        <v>22.988</v>
      </c>
      <c r="L59" s="34"/>
      <c r="M59" s="34"/>
      <c r="N59" s="34"/>
      <c r="P59" s="34">
        <f>Data!Z3</f>
        <v>1.5940000000000001</v>
      </c>
      <c r="Q59" s="34"/>
      <c r="R59" s="34"/>
      <c r="S59" s="34"/>
      <c r="U59" s="34">
        <f>Data!AA3</f>
        <v>1.1220000000000001</v>
      </c>
      <c r="V59" s="34"/>
      <c r="W59" s="34"/>
      <c r="Y59" s="34" t="str">
        <f>Data!AB3</f>
        <v>High Consumption</v>
      </c>
      <c r="Z59" s="34"/>
      <c r="AA59" s="34"/>
      <c r="AB59" s="34"/>
      <c r="AD59" s="34">
        <f>Data!AC3</f>
        <v>19.07</v>
      </c>
      <c r="AE59" s="34"/>
      <c r="AF59" s="34"/>
      <c r="AG59" s="34"/>
    </row>
    <row r="60" spans="1:34" ht="15" customHeight="1" x14ac:dyDescent="0.35">
      <c r="A60" s="35" t="str">
        <f>Data!W4</f>
        <v>MAC000937</v>
      </c>
      <c r="B60" s="35"/>
      <c r="C60" s="35"/>
      <c r="D60" s="35"/>
      <c r="F60" s="35" t="str">
        <f>Data!X4</f>
        <v>2013-01-07</v>
      </c>
      <c r="G60" s="35"/>
      <c r="H60" s="35"/>
      <c r="I60" s="35"/>
      <c r="K60" s="35">
        <f>Data!Y4</f>
        <v>16.390999999999998</v>
      </c>
      <c r="L60" s="35"/>
      <c r="M60" s="35"/>
      <c r="N60" s="35"/>
      <c r="P60" s="35">
        <f>Data!Z4</f>
        <v>2.3340000000000001</v>
      </c>
      <c r="Q60" s="35"/>
      <c r="R60" s="35"/>
      <c r="S60" s="35"/>
      <c r="U60" s="35">
        <f>Data!AA4</f>
        <v>0.86699999999999999</v>
      </c>
      <c r="V60" s="35"/>
      <c r="W60" s="35"/>
      <c r="Y60" s="35" t="str">
        <f>Data!AB4</f>
        <v>High Consumption</v>
      </c>
      <c r="Z60" s="35"/>
      <c r="AA60" s="35"/>
      <c r="AB60" s="35"/>
      <c r="AD60" s="35">
        <f>Data!AC4</f>
        <v>16.22</v>
      </c>
      <c r="AE60" s="35"/>
      <c r="AF60" s="35"/>
      <c r="AG60" s="35"/>
    </row>
    <row r="61" spans="1:34" ht="15" customHeight="1" x14ac:dyDescent="0.35">
      <c r="A61" s="34" t="str">
        <f>Data!W5</f>
        <v>MAC003099</v>
      </c>
      <c r="B61" s="34"/>
      <c r="C61" s="34"/>
      <c r="D61" s="34"/>
      <c r="F61" s="34" t="str">
        <f>Data!X5</f>
        <v>2014-02-03</v>
      </c>
      <c r="G61" s="34"/>
      <c r="H61" s="34"/>
      <c r="I61" s="34"/>
      <c r="K61" s="34">
        <f>Data!Y5</f>
        <v>16.998000000000001</v>
      </c>
      <c r="L61" s="34"/>
      <c r="M61" s="34"/>
      <c r="N61" s="34"/>
      <c r="P61" s="34">
        <f>Data!Z5</f>
        <v>3.85</v>
      </c>
      <c r="Q61" s="34"/>
      <c r="R61" s="34"/>
      <c r="S61" s="34"/>
      <c r="U61" s="34">
        <f>Data!AA5</f>
        <v>0.83399999999999996</v>
      </c>
      <c r="V61" s="34"/>
      <c r="W61" s="34"/>
      <c r="Y61" s="34" t="str">
        <f>Data!AB5</f>
        <v>High Consumption</v>
      </c>
      <c r="Z61" s="34"/>
      <c r="AA61" s="34"/>
      <c r="AB61" s="34"/>
      <c r="AD61" s="34">
        <f>Data!AC5</f>
        <v>15.77</v>
      </c>
      <c r="AE61" s="34"/>
      <c r="AF61" s="34"/>
      <c r="AG61" s="34"/>
    </row>
    <row r="62" spans="1:34" ht="15" customHeight="1" x14ac:dyDescent="0.35">
      <c r="A62" s="35" t="str">
        <f>Data!W6</f>
        <v>MAC001106</v>
      </c>
      <c r="B62" s="35"/>
      <c r="C62" s="35"/>
      <c r="D62" s="35"/>
      <c r="F62" s="35" t="str">
        <f>Data!X6</f>
        <v>2013-03-27</v>
      </c>
      <c r="G62" s="35"/>
      <c r="H62" s="35"/>
      <c r="I62" s="35"/>
      <c r="K62" s="35">
        <f>Data!Y6</f>
        <v>22.99</v>
      </c>
      <c r="L62" s="35"/>
      <c r="M62" s="35"/>
      <c r="N62" s="35"/>
      <c r="P62" s="35">
        <f>Data!Z6</f>
        <v>3.5939999999999999</v>
      </c>
      <c r="Q62" s="35"/>
      <c r="R62" s="35"/>
      <c r="S62" s="35"/>
      <c r="U62" s="35">
        <f>Data!AA6</f>
        <v>1.24</v>
      </c>
      <c r="V62" s="35"/>
      <c r="W62" s="35"/>
      <c r="Y62" s="35" t="str">
        <f>Data!AB6</f>
        <v>High Consumption</v>
      </c>
      <c r="Z62" s="35"/>
      <c r="AA62" s="35"/>
      <c r="AB62" s="35"/>
      <c r="AD62" s="35">
        <f>Data!AC6</f>
        <v>15.64</v>
      </c>
      <c r="AE62" s="35"/>
      <c r="AF62" s="35"/>
      <c r="AG62" s="35"/>
    </row>
    <row r="63" spans="1:34" ht="15" customHeight="1" x14ac:dyDescent="0.35">
      <c r="A63" s="34" t="str">
        <f>Data!W7</f>
        <v>MAC000958</v>
      </c>
      <c r="B63" s="34"/>
      <c r="C63" s="34"/>
      <c r="D63" s="34"/>
      <c r="F63" s="34" t="str">
        <f>Data!X7</f>
        <v>2012-12-26</v>
      </c>
      <c r="G63" s="34"/>
      <c r="H63" s="34"/>
      <c r="I63" s="34"/>
      <c r="K63" s="34">
        <f>Data!Y7</f>
        <v>103.194</v>
      </c>
      <c r="L63" s="34"/>
      <c r="M63" s="34"/>
      <c r="N63" s="34"/>
      <c r="P63" s="34">
        <f>Data!Z7</f>
        <v>4.9130000000000003</v>
      </c>
      <c r="Q63" s="34"/>
      <c r="R63" s="34"/>
      <c r="S63" s="34"/>
      <c r="U63" s="34">
        <f>Data!AA7</f>
        <v>6.625</v>
      </c>
      <c r="V63" s="34"/>
      <c r="W63" s="34"/>
      <c r="Y63" s="34" t="str">
        <f>Data!AB7</f>
        <v>High Consumption</v>
      </c>
      <c r="Z63" s="34"/>
      <c r="AA63" s="34"/>
      <c r="AB63" s="34"/>
      <c r="AD63" s="34">
        <f>Data!AC7</f>
        <v>14.84</v>
      </c>
      <c r="AE63" s="34"/>
      <c r="AF63" s="34"/>
      <c r="AG63" s="34"/>
    </row>
    <row r="64" spans="1:34" ht="15" customHeight="1" x14ac:dyDescent="0.35">
      <c r="A64" s="35" t="str">
        <f>Data!W8</f>
        <v>MAC000962</v>
      </c>
      <c r="B64" s="35"/>
      <c r="C64" s="35"/>
      <c r="D64" s="35"/>
      <c r="F64" s="35" t="str">
        <f>Data!X8</f>
        <v>2013-03-11</v>
      </c>
      <c r="G64" s="35"/>
      <c r="H64" s="35"/>
      <c r="I64" s="35"/>
      <c r="K64" s="35">
        <f>Data!Y8</f>
        <v>24.885000000000002</v>
      </c>
      <c r="L64" s="35"/>
      <c r="M64" s="35"/>
      <c r="N64" s="35"/>
      <c r="P64" s="35">
        <f>Data!Z8</f>
        <v>5.6740000000000004</v>
      </c>
      <c r="Q64" s="35"/>
      <c r="R64" s="35"/>
      <c r="S64" s="35"/>
      <c r="U64" s="35">
        <f>Data!AA8</f>
        <v>1.31</v>
      </c>
      <c r="V64" s="35"/>
      <c r="W64" s="35"/>
      <c r="Y64" s="35" t="str">
        <f>Data!AB8</f>
        <v>High Consumption</v>
      </c>
      <c r="Z64" s="35"/>
      <c r="AA64" s="35"/>
      <c r="AB64" s="35"/>
      <c r="AD64" s="35">
        <f>Data!AC8</f>
        <v>14.66</v>
      </c>
      <c r="AE64" s="35"/>
      <c r="AF64" s="35"/>
      <c r="AG64" s="35"/>
    </row>
    <row r="65" spans="1:34" ht="15" customHeight="1" x14ac:dyDescent="0.35">
      <c r="A65" s="34" t="str">
        <f>Data!W9</f>
        <v>MAC004803</v>
      </c>
      <c r="B65" s="34"/>
      <c r="C65" s="34"/>
      <c r="D65" s="34"/>
      <c r="F65" s="34" t="str">
        <f>Data!X9</f>
        <v>2012-12-16</v>
      </c>
      <c r="G65" s="34"/>
      <c r="H65" s="34"/>
      <c r="I65" s="34"/>
      <c r="K65" s="34">
        <f>Data!Y9</f>
        <v>53.384</v>
      </c>
      <c r="L65" s="34"/>
      <c r="M65" s="34"/>
      <c r="N65" s="34"/>
      <c r="P65" s="34">
        <f>Data!Z9</f>
        <v>4.5679999999999996</v>
      </c>
      <c r="Q65" s="34"/>
      <c r="R65" s="34"/>
      <c r="S65" s="34"/>
      <c r="U65" s="34">
        <f>Data!AA9</f>
        <v>3.3490000000000002</v>
      </c>
      <c r="V65" s="34"/>
      <c r="W65" s="34"/>
      <c r="Y65" s="34" t="str">
        <f>Data!AB9</f>
        <v>High Consumption</v>
      </c>
      <c r="Z65" s="34"/>
      <c r="AA65" s="34"/>
      <c r="AB65" s="34"/>
      <c r="AD65" s="34">
        <f>Data!AC9</f>
        <v>14.58</v>
      </c>
      <c r="AE65" s="34"/>
      <c r="AF65" s="34"/>
      <c r="AG65" s="34"/>
    </row>
    <row r="66" spans="1:34" ht="15" customHeight="1" x14ac:dyDescent="0.35">
      <c r="A66" s="35" t="str">
        <f>Data!W10</f>
        <v>MAC003616</v>
      </c>
      <c r="B66" s="35"/>
      <c r="C66" s="35"/>
      <c r="D66" s="35"/>
      <c r="F66" s="35" t="str">
        <f>Data!X10</f>
        <v>2014-02-28</v>
      </c>
      <c r="G66" s="35"/>
      <c r="H66" s="35"/>
      <c r="I66" s="35"/>
      <c r="K66" s="35">
        <f>Data!Y10</f>
        <v>3.2000000000000001E-2</v>
      </c>
      <c r="L66" s="35"/>
      <c r="M66" s="35"/>
      <c r="N66" s="35"/>
      <c r="P66" s="35">
        <f>Data!Z10</f>
        <v>3.2250000000000001</v>
      </c>
      <c r="Q66" s="35"/>
      <c r="R66" s="35"/>
      <c r="S66" s="35"/>
      <c r="U66" s="35">
        <f>Data!AA10</f>
        <v>0.221</v>
      </c>
      <c r="V66" s="35"/>
      <c r="W66" s="35"/>
      <c r="Y66" s="35" t="str">
        <f>Data!AB10</f>
        <v>Low Consumption</v>
      </c>
      <c r="Z66" s="35"/>
      <c r="AA66" s="35"/>
      <c r="AB66" s="35"/>
      <c r="AD66" s="35">
        <f>Data!AC10</f>
        <v>14.45</v>
      </c>
      <c r="AE66" s="35"/>
      <c r="AF66" s="35"/>
      <c r="AG66" s="35"/>
    </row>
    <row r="67" spans="1:34" ht="15" customHeight="1" x14ac:dyDescent="0.35">
      <c r="A67" s="34" t="str">
        <f>Data!W11</f>
        <v>MAC001905</v>
      </c>
      <c r="B67" s="34"/>
      <c r="C67" s="34"/>
      <c r="D67" s="34"/>
      <c r="F67" s="34" t="str">
        <f>Data!X11</f>
        <v>2012-11-18</v>
      </c>
      <c r="G67" s="34"/>
      <c r="H67" s="34"/>
      <c r="I67" s="34"/>
      <c r="K67" s="34">
        <f>Data!Y11</f>
        <v>42.612000000000002</v>
      </c>
      <c r="L67" s="34"/>
      <c r="M67" s="34"/>
      <c r="N67" s="34"/>
      <c r="P67" s="34">
        <f>Data!Z11</f>
        <v>5.2649999999999997</v>
      </c>
      <c r="Q67" s="34"/>
      <c r="R67" s="34"/>
      <c r="S67" s="34"/>
      <c r="U67" s="34">
        <f>Data!AA11</f>
        <v>2.63</v>
      </c>
      <c r="V67" s="34"/>
      <c r="W67" s="34"/>
      <c r="Y67" s="34" t="str">
        <f>Data!AB11</f>
        <v>High Consumption</v>
      </c>
      <c r="Z67" s="34"/>
      <c r="AA67" s="34"/>
      <c r="AB67" s="34"/>
      <c r="AD67" s="34">
        <f>Data!AC11</f>
        <v>14.2</v>
      </c>
      <c r="AE67" s="34"/>
      <c r="AF67" s="34"/>
      <c r="AG67" s="34"/>
    </row>
    <row r="68" spans="1:34" ht="15" customHeight="1" x14ac:dyDescent="0.35">
      <c r="A68" s="35" t="str">
        <f>Data!W12</f>
        <v>MAC000958</v>
      </c>
      <c r="B68" s="35"/>
      <c r="C68" s="35"/>
      <c r="D68" s="35"/>
      <c r="F68" s="35" t="str">
        <f>Data!X12</f>
        <v>2012-12-27</v>
      </c>
      <c r="G68" s="35"/>
      <c r="H68" s="35"/>
      <c r="I68" s="35"/>
      <c r="K68" s="35">
        <f>Data!Y12</f>
        <v>98.65</v>
      </c>
      <c r="L68" s="35"/>
      <c r="M68" s="35"/>
      <c r="N68" s="35"/>
      <c r="P68" s="35">
        <f>Data!Z12</f>
        <v>4.9130000000000003</v>
      </c>
      <c r="Q68" s="35"/>
      <c r="R68" s="35"/>
      <c r="S68" s="35"/>
      <c r="U68" s="35">
        <f>Data!AA12</f>
        <v>6.625</v>
      </c>
      <c r="V68" s="35"/>
      <c r="W68" s="35"/>
      <c r="Y68" s="35" t="str">
        <f>Data!AB12</f>
        <v>High Consumption</v>
      </c>
      <c r="Z68" s="35"/>
      <c r="AA68" s="35"/>
      <c r="AB68" s="35"/>
      <c r="AD68" s="35">
        <f>Data!AC12</f>
        <v>14.15</v>
      </c>
      <c r="AE68" s="35"/>
      <c r="AF68" s="35"/>
      <c r="AG68" s="35"/>
    </row>
    <row r="69" spans="1:34" ht="15" customHeight="1" x14ac:dyDescent="0.35">
      <c r="A69" s="34" t="str">
        <f>Data!W13</f>
        <v>MAC000391</v>
      </c>
      <c r="B69" s="34"/>
      <c r="C69" s="34"/>
      <c r="D69" s="34"/>
      <c r="F69" s="34" t="str">
        <f>Data!X13</f>
        <v>2013-01-15</v>
      </c>
      <c r="G69" s="34"/>
      <c r="H69" s="34"/>
      <c r="I69" s="34"/>
      <c r="K69" s="34">
        <f>Data!Y13</f>
        <v>37.44</v>
      </c>
      <c r="L69" s="34"/>
      <c r="M69" s="34"/>
      <c r="N69" s="34"/>
      <c r="P69" s="34">
        <f>Data!Z13</f>
        <v>7.4210000000000003</v>
      </c>
      <c r="Q69" s="34"/>
      <c r="R69" s="34"/>
      <c r="S69" s="34"/>
      <c r="U69" s="34">
        <f>Data!AA13</f>
        <v>2.16</v>
      </c>
      <c r="V69" s="34"/>
      <c r="W69" s="34"/>
      <c r="Y69" s="34" t="str">
        <f>Data!AB13</f>
        <v>High Consumption</v>
      </c>
      <c r="Z69" s="34"/>
      <c r="AA69" s="34"/>
      <c r="AB69" s="34"/>
      <c r="AD69" s="34">
        <f>Data!AC13</f>
        <v>13.89</v>
      </c>
      <c r="AE69" s="34"/>
      <c r="AF69" s="34"/>
      <c r="AG69" s="34"/>
    </row>
    <row r="70" spans="1:34" ht="15" customHeight="1" x14ac:dyDescent="0.35">
      <c r="A70" s="35" t="str">
        <f>Data!W14</f>
        <v>MAC001504</v>
      </c>
      <c r="B70" s="35"/>
      <c r="C70" s="35"/>
      <c r="D70" s="35"/>
      <c r="F70" s="35" t="str">
        <f>Data!X14</f>
        <v>2012-10-26</v>
      </c>
      <c r="G70" s="35"/>
      <c r="H70" s="35"/>
      <c r="I70" s="35"/>
      <c r="K70" s="35">
        <f>Data!Y14</f>
        <v>35.156999999999996</v>
      </c>
      <c r="L70" s="35"/>
      <c r="M70" s="35"/>
      <c r="N70" s="35"/>
      <c r="P70" s="35">
        <f>Data!Z14</f>
        <v>3.6320000000000001</v>
      </c>
      <c r="Q70" s="35"/>
      <c r="R70" s="35"/>
      <c r="S70" s="35"/>
      <c r="U70" s="35">
        <f>Data!AA14</f>
        <v>2.27</v>
      </c>
      <c r="V70" s="35"/>
      <c r="W70" s="35"/>
      <c r="Y70" s="35" t="str">
        <f>Data!AB14</f>
        <v>High Consumption</v>
      </c>
      <c r="Z70" s="35"/>
      <c r="AA70" s="35"/>
      <c r="AB70" s="35"/>
      <c r="AD70" s="35">
        <f>Data!AC14</f>
        <v>13.88</v>
      </c>
      <c r="AE70" s="35"/>
      <c r="AF70" s="35"/>
      <c r="AG70" s="35"/>
    </row>
    <row r="71" spans="1:34" ht="15" customHeight="1" x14ac:dyDescent="0.35">
      <c r="A71" s="34" t="str">
        <f>Data!W15</f>
        <v>MAC004087</v>
      </c>
      <c r="B71" s="34"/>
      <c r="C71" s="34"/>
      <c r="D71" s="34"/>
      <c r="F71" s="34" t="str">
        <f>Data!X15</f>
        <v>2013-04-02</v>
      </c>
      <c r="G71" s="34"/>
      <c r="H71" s="34"/>
      <c r="I71" s="34"/>
      <c r="K71" s="34">
        <f>Data!Y15</f>
        <v>94.340999999999994</v>
      </c>
      <c r="L71" s="34"/>
      <c r="M71" s="34"/>
      <c r="N71" s="34"/>
      <c r="P71" s="34">
        <f>Data!Z15</f>
        <v>16.704000000000001</v>
      </c>
      <c r="Q71" s="34"/>
      <c r="R71" s="34"/>
      <c r="S71" s="34"/>
      <c r="U71" s="34">
        <f>Data!AA15</f>
        <v>5.6980000000000004</v>
      </c>
      <c r="V71" s="34"/>
      <c r="W71" s="34"/>
      <c r="Y71" s="34" t="str">
        <f>Data!AB15</f>
        <v>High Consumption</v>
      </c>
      <c r="Z71" s="34"/>
      <c r="AA71" s="34"/>
      <c r="AB71" s="34"/>
      <c r="AD71" s="34">
        <f>Data!AC15</f>
        <v>13.62</v>
      </c>
      <c r="AE71" s="34"/>
      <c r="AF71" s="34"/>
      <c r="AG71" s="34"/>
    </row>
    <row r="72" spans="1:34" ht="15" customHeight="1" x14ac:dyDescent="0.35">
      <c r="A72" s="35" t="str">
        <f>Data!W16</f>
        <v>MAC003825</v>
      </c>
      <c r="B72" s="35"/>
      <c r="C72" s="35"/>
      <c r="D72" s="35"/>
      <c r="F72" s="35" t="str">
        <f>Data!X16</f>
        <v>2013-12-07</v>
      </c>
      <c r="G72" s="35"/>
      <c r="H72" s="35"/>
      <c r="I72" s="35"/>
      <c r="K72" s="35">
        <f>Data!Y16</f>
        <v>29.661000000000001</v>
      </c>
      <c r="L72" s="35"/>
      <c r="M72" s="35"/>
      <c r="N72" s="35"/>
      <c r="P72" s="35">
        <f>Data!Z16</f>
        <v>5.1929999999999996</v>
      </c>
      <c r="Q72" s="35"/>
      <c r="R72" s="35"/>
      <c r="S72" s="35"/>
      <c r="U72" s="35">
        <f>Data!AA16</f>
        <v>1.798</v>
      </c>
      <c r="V72" s="35"/>
      <c r="W72" s="35"/>
      <c r="Y72" s="35" t="str">
        <f>Data!AB16</f>
        <v>High Consumption</v>
      </c>
      <c r="Z72" s="35"/>
      <c r="AA72" s="35"/>
      <c r="AB72" s="35"/>
      <c r="AD72" s="35">
        <f>Data!AC16</f>
        <v>13.61</v>
      </c>
      <c r="AE72" s="35"/>
      <c r="AF72" s="35"/>
      <c r="AG72" s="35"/>
    </row>
    <row r="73" spans="1:34" ht="15" customHeight="1" x14ac:dyDescent="0.35">
      <c r="A73" s="34" t="str">
        <f>Data!W17</f>
        <v>MAC004805</v>
      </c>
      <c r="B73" s="34"/>
      <c r="C73" s="34"/>
      <c r="D73" s="34"/>
      <c r="F73" s="34" t="str">
        <f>Data!X17</f>
        <v>2013-02-28</v>
      </c>
      <c r="G73" s="34"/>
      <c r="H73" s="34"/>
      <c r="I73" s="34"/>
      <c r="K73" s="34">
        <f>Data!Y17</f>
        <v>43.695999999999998</v>
      </c>
      <c r="L73" s="34"/>
      <c r="M73" s="34"/>
      <c r="N73" s="34"/>
      <c r="P73" s="34">
        <f>Data!Z17</f>
        <v>8.8490000000000002</v>
      </c>
      <c r="Q73" s="34"/>
      <c r="R73" s="34"/>
      <c r="S73" s="34"/>
      <c r="U73" s="34">
        <f>Data!AA17</f>
        <v>2.62</v>
      </c>
      <c r="V73" s="34"/>
      <c r="W73" s="34"/>
      <c r="Y73" s="34" t="str">
        <f>Data!AB17</f>
        <v>High Consumption</v>
      </c>
      <c r="Z73" s="34"/>
      <c r="AA73" s="34"/>
      <c r="AB73" s="34"/>
      <c r="AD73" s="34">
        <f>Data!AC17</f>
        <v>13.3</v>
      </c>
      <c r="AE73" s="34"/>
      <c r="AF73" s="34"/>
      <c r="AG73" s="34"/>
    </row>
    <row r="74" spans="1:34" ht="15" customHeight="1" x14ac:dyDescent="0.35"/>
    <row r="75" spans="1:34" ht="15" customHeight="1" x14ac:dyDescent="0.3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</row>
    <row r="76" spans="1:34" ht="15" customHeight="1" x14ac:dyDescent="0.35"/>
    <row r="77" spans="1:34" ht="15" customHeight="1" x14ac:dyDescent="0.35"/>
    <row r="78" spans="1:34" ht="15" customHeight="1" x14ac:dyDescent="0.35"/>
    <row r="80" spans="1:34" ht="15" customHeight="1" x14ac:dyDescent="0.35"/>
  </sheetData>
  <mergeCells count="156">
    <mergeCell ref="A75:AH75"/>
    <mergeCell ref="A72:D72"/>
    <mergeCell ref="F72:I72"/>
    <mergeCell ref="K72:N72"/>
    <mergeCell ref="P72:S72"/>
    <mergeCell ref="U72:W72"/>
    <mergeCell ref="Y72:AB72"/>
    <mergeCell ref="AD72:AG72"/>
    <mergeCell ref="A73:D73"/>
    <mergeCell ref="F73:I73"/>
    <mergeCell ref="K73:N73"/>
    <mergeCell ref="P73:S73"/>
    <mergeCell ref="U73:W73"/>
    <mergeCell ref="Y73:AB73"/>
    <mergeCell ref="AD73:AG73"/>
    <mergeCell ref="A70:D70"/>
    <mergeCell ref="F70:I70"/>
    <mergeCell ref="K70:N70"/>
    <mergeCell ref="P70:S70"/>
    <mergeCell ref="U70:W70"/>
    <mergeCell ref="Y70:AB70"/>
    <mergeCell ref="AD70:AG70"/>
    <mergeCell ref="A71:D71"/>
    <mergeCell ref="F71:I71"/>
    <mergeCell ref="K71:N71"/>
    <mergeCell ref="P71:S71"/>
    <mergeCell ref="U71:W71"/>
    <mergeCell ref="Y71:AB71"/>
    <mergeCell ref="AD71:AG71"/>
    <mergeCell ref="A68:D68"/>
    <mergeCell ref="F68:I68"/>
    <mergeCell ref="K68:N68"/>
    <mergeCell ref="P68:S68"/>
    <mergeCell ref="U68:W68"/>
    <mergeCell ref="Y68:AB68"/>
    <mergeCell ref="AD68:AG68"/>
    <mergeCell ref="A69:D69"/>
    <mergeCell ref="F69:I69"/>
    <mergeCell ref="K69:N69"/>
    <mergeCell ref="P69:S69"/>
    <mergeCell ref="U69:W69"/>
    <mergeCell ref="Y69:AB69"/>
    <mergeCell ref="AD69:AG69"/>
    <mergeCell ref="A66:D66"/>
    <mergeCell ref="F66:I66"/>
    <mergeCell ref="K66:N66"/>
    <mergeCell ref="P66:S66"/>
    <mergeCell ref="U66:W66"/>
    <mergeCell ref="Y66:AB66"/>
    <mergeCell ref="AD66:AG66"/>
    <mergeCell ref="A67:D67"/>
    <mergeCell ref="F67:I67"/>
    <mergeCell ref="K67:N67"/>
    <mergeCell ref="P67:S67"/>
    <mergeCell ref="U67:W67"/>
    <mergeCell ref="Y67:AB67"/>
    <mergeCell ref="AD67:AG67"/>
    <mergeCell ref="A64:D64"/>
    <mergeCell ref="F64:I64"/>
    <mergeCell ref="K64:N64"/>
    <mergeCell ref="P64:S64"/>
    <mergeCell ref="U64:W64"/>
    <mergeCell ref="Y64:AB64"/>
    <mergeCell ref="AD64:AG64"/>
    <mergeCell ref="A65:D65"/>
    <mergeCell ref="F65:I65"/>
    <mergeCell ref="K65:N65"/>
    <mergeCell ref="P65:S65"/>
    <mergeCell ref="U65:W65"/>
    <mergeCell ref="Y65:AB65"/>
    <mergeCell ref="AD65:AG65"/>
    <mergeCell ref="A62:D62"/>
    <mergeCell ref="F62:I62"/>
    <mergeCell ref="K62:N62"/>
    <mergeCell ref="P62:S62"/>
    <mergeCell ref="U62:W62"/>
    <mergeCell ref="Y62:AB62"/>
    <mergeCell ref="AD62:AG62"/>
    <mergeCell ref="A63:D63"/>
    <mergeCell ref="F63:I63"/>
    <mergeCell ref="K63:N63"/>
    <mergeCell ref="P63:S63"/>
    <mergeCell ref="U63:W63"/>
    <mergeCell ref="Y63:AB63"/>
    <mergeCell ref="AD63:AG63"/>
    <mergeCell ref="A60:D60"/>
    <mergeCell ref="F60:I60"/>
    <mergeCell ref="K60:N60"/>
    <mergeCell ref="P60:S60"/>
    <mergeCell ref="U60:W60"/>
    <mergeCell ref="Y60:AB60"/>
    <mergeCell ref="AD60:AG60"/>
    <mergeCell ref="A61:D61"/>
    <mergeCell ref="F61:I61"/>
    <mergeCell ref="K61:N61"/>
    <mergeCell ref="P61:S61"/>
    <mergeCell ref="U61:W61"/>
    <mergeCell ref="Y61:AB61"/>
    <mergeCell ref="AD61:AG61"/>
    <mergeCell ref="A57:AH57"/>
    <mergeCell ref="A58:D58"/>
    <mergeCell ref="F58:I58"/>
    <mergeCell ref="K58:N58"/>
    <mergeCell ref="P58:S58"/>
    <mergeCell ref="U58:W58"/>
    <mergeCell ref="Y58:AB58"/>
    <mergeCell ref="AD58:AG58"/>
    <mergeCell ref="A59:D59"/>
    <mergeCell ref="F59:I59"/>
    <mergeCell ref="K59:N59"/>
    <mergeCell ref="P59:S59"/>
    <mergeCell ref="U59:W59"/>
    <mergeCell ref="Y59:AB59"/>
    <mergeCell ref="AD59:AG59"/>
    <mergeCell ref="A14:D17"/>
    <mergeCell ref="F14:I17"/>
    <mergeCell ref="K14:N17"/>
    <mergeCell ref="P14:S17"/>
    <mergeCell ref="U14:X17"/>
    <mergeCell ref="Z14:AC17"/>
    <mergeCell ref="A19:Q19"/>
    <mergeCell ref="R19:AH19"/>
    <mergeCell ref="A38:Q38"/>
    <mergeCell ref="R38:AH38"/>
    <mergeCell ref="A9:D9"/>
    <mergeCell ref="F9:I9"/>
    <mergeCell ref="K9:N9"/>
    <mergeCell ref="P9:S9"/>
    <mergeCell ref="A11:AH11"/>
    <mergeCell ref="A13:D13"/>
    <mergeCell ref="F13:I13"/>
    <mergeCell ref="K13:N13"/>
    <mergeCell ref="P13:S13"/>
    <mergeCell ref="U13:X13"/>
    <mergeCell ref="Z13:AC13"/>
    <mergeCell ref="A6:D6"/>
    <mergeCell ref="F6:I6"/>
    <mergeCell ref="K6:N6"/>
    <mergeCell ref="P6:S6"/>
    <mergeCell ref="A7:D7"/>
    <mergeCell ref="F7:I7"/>
    <mergeCell ref="K7:N7"/>
    <mergeCell ref="P7:S7"/>
    <mergeCell ref="A8:D8"/>
    <mergeCell ref="F8:I8"/>
    <mergeCell ref="K8:N8"/>
    <mergeCell ref="P8:S8"/>
    <mergeCell ref="A1:AH2"/>
    <mergeCell ref="A3:D3"/>
    <mergeCell ref="F3:I3"/>
    <mergeCell ref="K3:N3"/>
    <mergeCell ref="P3:S3"/>
    <mergeCell ref="A4:D4"/>
    <mergeCell ref="F4:I4"/>
    <mergeCell ref="K4:N4"/>
    <mergeCell ref="P4:S4"/>
  </mergeCells>
  <pageMargins left="0.2" right="0.2" top="0.2" bottom="0.2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Title="Invalid entry" error="Please choose a value from the dropdown list." promptTitle="MONTH" prompt="Choose a value to filter the dashboard." xr:uid="{00000000-0002-0000-0000-000000000000}">
          <x14:formula1>
            <xm:f>Data!$AK$2:$AK$30</xm:f>
          </x14:formula1>
          <x14:formula2>
            <xm:f>0</xm:f>
          </x14:formula2>
          <xm:sqref>A4</xm:sqref>
        </x14:dataValidation>
        <x14:dataValidation type="list" errorTitle="Invalid entry" error="Please choose a value from the dropdown list." promptTitle="DAY OF WEEK" prompt="Choose a value to filter the dashboard." xr:uid="{00000000-0002-0000-0000-000001000000}">
          <x14:formula1>
            <xm:f>Data!$AL$2:$AL$9</xm:f>
          </x14:formula1>
          <x14:formula2>
            <xm:f>0</xm:f>
          </x14:formula2>
          <xm:sqref>F4</xm:sqref>
        </x14:dataValidation>
        <x14:dataValidation type="list" errorTitle="Invalid entry" error="Please choose a value from the dropdown list." promptTitle="HOUSEHOLD (Top 10 by anomalies)" prompt="Choose a value to filter the dashboard." xr:uid="{00000000-0002-0000-0000-000002000000}">
          <x14:formula1>
            <xm:f>Data!$AM$2:$AM$12</xm:f>
          </x14:formula1>
          <x14:formula2>
            <xm:f>0</xm:f>
          </x14:formula2>
          <xm:sqref>K4</xm:sqref>
        </x14:dataValidation>
        <x14:dataValidation type="list" errorTitle="Invalid entry" error="Please choose a value from the dropdown list." promptTitle="ANOMALY STATUS" prompt="Choose a value to filter the dashboard." xr:uid="{00000000-0002-0000-0000-000003000000}">
          <x14:formula1>
            <xm:f>Data!$AN$2:$AN$5</xm:f>
          </x14:formula1>
          <x14:formula2>
            <xm:f>0</xm:f>
          </x14:formula2>
          <xm:sqref>P4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21"/>
  <sheetViews>
    <sheetView zoomScaleNormal="100" workbookViewId="0"/>
  </sheetViews>
  <sheetFormatPr defaultColWidth="8.6328125" defaultRowHeight="14.5" x14ac:dyDescent="0.35"/>
  <sheetData>
    <row r="1" spans="1:40" ht="15" customHeight="1" x14ac:dyDescent="0.35">
      <c r="A1" s="13" t="s">
        <v>32</v>
      </c>
      <c r="D1" s="13" t="s">
        <v>33</v>
      </c>
      <c r="I1" s="13" t="s">
        <v>34</v>
      </c>
      <c r="N1" s="13" t="s">
        <v>35</v>
      </c>
      <c r="R1" s="13" t="s">
        <v>36</v>
      </c>
      <c r="W1" s="13" t="s">
        <v>37</v>
      </c>
      <c r="AE1" s="13" t="s">
        <v>38</v>
      </c>
      <c r="AH1" s="13" t="s">
        <v>39</v>
      </c>
      <c r="AK1" t="s">
        <v>40</v>
      </c>
      <c r="AL1" t="s">
        <v>41</v>
      </c>
      <c r="AM1" t="s">
        <v>42</v>
      </c>
      <c r="AN1" t="s">
        <v>43</v>
      </c>
    </row>
    <row r="2" spans="1:40" ht="15" customHeight="1" x14ac:dyDescent="0.35">
      <c r="A2" s="13" t="s">
        <v>44</v>
      </c>
      <c r="B2" s="13" t="s">
        <v>45</v>
      </c>
      <c r="D2" s="13" t="s">
        <v>46</v>
      </c>
      <c r="E2" s="13" t="s">
        <v>47</v>
      </c>
      <c r="F2" s="13" t="s">
        <v>48</v>
      </c>
      <c r="G2" s="13" t="s">
        <v>49</v>
      </c>
      <c r="I2" s="13" t="s">
        <v>50</v>
      </c>
      <c r="J2" s="13" t="s">
        <v>47</v>
      </c>
      <c r="K2" s="13" t="s">
        <v>48</v>
      </c>
      <c r="L2" s="13" t="s">
        <v>49</v>
      </c>
      <c r="N2" s="13" t="s">
        <v>51</v>
      </c>
      <c r="O2" s="13" t="s">
        <v>47</v>
      </c>
      <c r="P2" s="13" t="s">
        <v>52</v>
      </c>
      <c r="R2" s="13" t="s">
        <v>53</v>
      </c>
      <c r="S2" s="13" t="s">
        <v>54</v>
      </c>
      <c r="T2" s="13" t="s">
        <v>55</v>
      </c>
      <c r="U2" s="13" t="s">
        <v>56</v>
      </c>
      <c r="W2" s="13" t="s">
        <v>53</v>
      </c>
      <c r="X2" s="13" t="s">
        <v>57</v>
      </c>
      <c r="Y2" s="13" t="s">
        <v>58</v>
      </c>
      <c r="Z2" s="13" t="s">
        <v>59</v>
      </c>
      <c r="AA2" s="13" t="s">
        <v>60</v>
      </c>
      <c r="AB2" s="13" t="s">
        <v>61</v>
      </c>
      <c r="AC2" s="13" t="s">
        <v>62</v>
      </c>
      <c r="AE2" s="13" t="s">
        <v>63</v>
      </c>
      <c r="AF2" s="13" t="s">
        <v>64</v>
      </c>
      <c r="AH2" s="13" t="s">
        <v>61</v>
      </c>
      <c r="AI2" s="13" t="s">
        <v>64</v>
      </c>
      <c r="AK2" t="s">
        <v>4</v>
      </c>
      <c r="AL2" t="s">
        <v>5</v>
      </c>
      <c r="AM2" t="s">
        <v>6</v>
      </c>
      <c r="AN2" t="s">
        <v>7</v>
      </c>
    </row>
    <row r="3" spans="1:40" ht="15" customHeight="1" x14ac:dyDescent="0.35">
      <c r="A3" t="s">
        <v>65</v>
      </c>
      <c r="B3" t="s">
        <v>66</v>
      </c>
      <c r="D3" t="s">
        <v>67</v>
      </c>
      <c r="E3">
        <v>10.977571436507899</v>
      </c>
      <c r="F3">
        <v>6</v>
      </c>
      <c r="G3">
        <v>63</v>
      </c>
      <c r="I3" t="s">
        <v>68</v>
      </c>
      <c r="J3">
        <v>10.3103913094203</v>
      </c>
      <c r="K3">
        <v>10</v>
      </c>
      <c r="L3">
        <v>138</v>
      </c>
      <c r="N3" t="s">
        <v>69</v>
      </c>
      <c r="O3">
        <v>9.7307357489451398</v>
      </c>
      <c r="P3">
        <v>3.7458695099599999</v>
      </c>
      <c r="R3" t="s">
        <v>70</v>
      </c>
      <c r="S3">
        <v>646</v>
      </c>
      <c r="T3">
        <v>95</v>
      </c>
      <c r="U3">
        <v>14.71</v>
      </c>
      <c r="W3" t="s">
        <v>71</v>
      </c>
      <c r="X3" t="s">
        <v>72</v>
      </c>
      <c r="Y3">
        <v>22.988</v>
      </c>
      <c r="Z3">
        <v>1.5940000000000001</v>
      </c>
      <c r="AA3">
        <v>1.1220000000000001</v>
      </c>
      <c r="AB3" t="s">
        <v>73</v>
      </c>
      <c r="AC3">
        <v>19.07</v>
      </c>
      <c r="AE3" t="s">
        <v>74</v>
      </c>
      <c r="AF3">
        <v>18917</v>
      </c>
      <c r="AH3" t="s">
        <v>75</v>
      </c>
      <c r="AI3">
        <v>1001372</v>
      </c>
      <c r="AK3" t="str">
        <f t="shared" ref="AK3:AK30" si="0">I3</f>
        <v>2011-11</v>
      </c>
      <c r="AL3" t="str">
        <f t="shared" ref="AL3:AL9" si="1">N3</f>
        <v>Monday</v>
      </c>
      <c r="AM3" t="str">
        <f t="shared" ref="AM3:AM12" si="2">R3</f>
        <v>MAC004292</v>
      </c>
      <c r="AN3" t="str">
        <f>AH3</f>
        <v>Normal</v>
      </c>
    </row>
    <row r="4" spans="1:40" ht="15" customHeight="1" x14ac:dyDescent="0.35">
      <c r="A4" t="s">
        <v>76</v>
      </c>
      <c r="B4" t="s">
        <v>77</v>
      </c>
      <c r="D4" t="s">
        <v>78</v>
      </c>
      <c r="E4">
        <v>11.105920322709199</v>
      </c>
      <c r="F4">
        <v>14</v>
      </c>
      <c r="G4">
        <v>251</v>
      </c>
      <c r="I4" t="s">
        <v>79</v>
      </c>
      <c r="J4">
        <v>12.149746875641</v>
      </c>
      <c r="K4">
        <v>338</v>
      </c>
      <c r="L4">
        <v>3042</v>
      </c>
      <c r="N4" t="s">
        <v>80</v>
      </c>
      <c r="O4">
        <v>9.6058545482613091</v>
      </c>
      <c r="P4">
        <v>3.7451257945622598</v>
      </c>
      <c r="R4" t="s">
        <v>81</v>
      </c>
      <c r="S4">
        <v>819</v>
      </c>
      <c r="T4">
        <v>94</v>
      </c>
      <c r="U4">
        <v>11.48</v>
      </c>
      <c r="W4" t="s">
        <v>82</v>
      </c>
      <c r="X4" t="s">
        <v>83</v>
      </c>
      <c r="Y4">
        <v>16.390999999999998</v>
      </c>
      <c r="Z4">
        <v>2.3340000000000001</v>
      </c>
      <c r="AA4">
        <v>0.86699999999999999</v>
      </c>
      <c r="AB4" t="s">
        <v>73</v>
      </c>
      <c r="AC4">
        <v>16.22</v>
      </c>
      <c r="AE4" t="s">
        <v>84</v>
      </c>
      <c r="AF4">
        <v>35930</v>
      </c>
      <c r="AH4" t="s">
        <v>73</v>
      </c>
      <c r="AI4">
        <v>34456</v>
      </c>
      <c r="AK4" t="str">
        <f t="shared" si="0"/>
        <v>2011-12</v>
      </c>
      <c r="AL4" t="str">
        <f t="shared" si="1"/>
        <v>Tuesday</v>
      </c>
      <c r="AM4" t="str">
        <f t="shared" si="2"/>
        <v>MAC000248</v>
      </c>
      <c r="AN4" t="str">
        <f>AH4</f>
        <v>High Consumption</v>
      </c>
    </row>
    <row r="5" spans="1:40" ht="15" customHeight="1" x14ac:dyDescent="0.35">
      <c r="A5" t="s">
        <v>85</v>
      </c>
      <c r="B5" t="s">
        <v>86</v>
      </c>
      <c r="D5" t="s">
        <v>87</v>
      </c>
      <c r="E5">
        <v>12.118034694285701</v>
      </c>
      <c r="F5">
        <v>35</v>
      </c>
      <c r="G5">
        <v>490</v>
      </c>
      <c r="I5" t="s">
        <v>88</v>
      </c>
      <c r="J5">
        <v>12.5924076140124</v>
      </c>
      <c r="K5">
        <v>372</v>
      </c>
      <c r="L5">
        <v>5174</v>
      </c>
      <c r="N5" t="s">
        <v>89</v>
      </c>
      <c r="O5">
        <v>9.6083017421504806</v>
      </c>
      <c r="P5">
        <v>3.8940955326552098</v>
      </c>
      <c r="R5" t="s">
        <v>90</v>
      </c>
      <c r="S5">
        <v>674</v>
      </c>
      <c r="T5">
        <v>79</v>
      </c>
      <c r="U5">
        <v>11.72</v>
      </c>
      <c r="W5" t="s">
        <v>91</v>
      </c>
      <c r="X5" t="s">
        <v>92</v>
      </c>
      <c r="Y5">
        <v>16.998000000000001</v>
      </c>
      <c r="Z5">
        <v>3.85</v>
      </c>
      <c r="AA5">
        <v>0.83399999999999996</v>
      </c>
      <c r="AB5" t="s">
        <v>73</v>
      </c>
      <c r="AC5">
        <v>15.77</v>
      </c>
      <c r="AE5" t="s">
        <v>93</v>
      </c>
      <c r="AF5">
        <v>66610</v>
      </c>
      <c r="AH5" t="s">
        <v>94</v>
      </c>
      <c r="AI5">
        <v>12737</v>
      </c>
      <c r="AK5" t="str">
        <f t="shared" si="0"/>
        <v>2012-01</v>
      </c>
      <c r="AL5" t="str">
        <f t="shared" si="1"/>
        <v>Wednesday</v>
      </c>
      <c r="AM5" t="str">
        <f t="shared" si="2"/>
        <v>MAC004445</v>
      </c>
      <c r="AN5" t="str">
        <f>AH5</f>
        <v>Low Consumption</v>
      </c>
    </row>
    <row r="6" spans="1:40" ht="15" customHeight="1" x14ac:dyDescent="0.35">
      <c r="A6" t="s">
        <v>95</v>
      </c>
      <c r="B6" t="s">
        <v>96</v>
      </c>
      <c r="D6" t="s">
        <v>97</v>
      </c>
      <c r="E6">
        <v>12.848857995366201</v>
      </c>
      <c r="F6">
        <v>80</v>
      </c>
      <c r="G6">
        <v>669</v>
      </c>
      <c r="I6" t="s">
        <v>98</v>
      </c>
      <c r="J6">
        <v>12.9371444920999</v>
      </c>
      <c r="K6">
        <v>619</v>
      </c>
      <c r="L6">
        <v>6810</v>
      </c>
      <c r="N6" t="s">
        <v>99</v>
      </c>
      <c r="O6">
        <v>9.6031628877894004</v>
      </c>
      <c r="P6">
        <v>3.5146894459524201</v>
      </c>
      <c r="R6" t="s">
        <v>100</v>
      </c>
      <c r="S6">
        <v>684</v>
      </c>
      <c r="T6">
        <v>77</v>
      </c>
      <c r="U6">
        <v>11.26</v>
      </c>
      <c r="W6" t="s">
        <v>101</v>
      </c>
      <c r="X6" t="s">
        <v>102</v>
      </c>
      <c r="Y6">
        <v>22.99</v>
      </c>
      <c r="Z6">
        <v>3.5939999999999999</v>
      </c>
      <c r="AA6">
        <v>1.24</v>
      </c>
      <c r="AB6" t="s">
        <v>73</v>
      </c>
      <c r="AC6">
        <v>15.64</v>
      </c>
      <c r="AE6" t="s">
        <v>103</v>
      </c>
      <c r="AF6">
        <v>184022</v>
      </c>
      <c r="AK6" t="str">
        <f t="shared" si="0"/>
        <v>2012-02</v>
      </c>
      <c r="AL6" t="str">
        <f t="shared" si="1"/>
        <v>Thursday</v>
      </c>
      <c r="AM6" t="str">
        <f t="shared" si="2"/>
        <v>MAC005440</v>
      </c>
    </row>
    <row r="7" spans="1:40" ht="15" customHeight="1" x14ac:dyDescent="0.35">
      <c r="A7" t="s">
        <v>104</v>
      </c>
      <c r="B7" t="s">
        <v>105</v>
      </c>
      <c r="D7" t="s">
        <v>106</v>
      </c>
      <c r="E7">
        <v>12.565296032284399</v>
      </c>
      <c r="F7">
        <v>125</v>
      </c>
      <c r="G7">
        <v>858</v>
      </c>
      <c r="I7" t="s">
        <v>107</v>
      </c>
      <c r="J7">
        <v>10.8905573720891</v>
      </c>
      <c r="K7">
        <v>344</v>
      </c>
      <c r="L7">
        <v>9473</v>
      </c>
      <c r="N7" t="s">
        <v>108</v>
      </c>
      <c r="O7">
        <v>9.52915989308406</v>
      </c>
      <c r="P7">
        <v>4.65423589253224</v>
      </c>
      <c r="R7" t="s">
        <v>109</v>
      </c>
      <c r="S7">
        <v>712</v>
      </c>
      <c r="T7">
        <v>73</v>
      </c>
      <c r="U7">
        <v>10.25</v>
      </c>
      <c r="W7" t="s">
        <v>110</v>
      </c>
      <c r="X7" t="s">
        <v>111</v>
      </c>
      <c r="Y7">
        <v>103.194</v>
      </c>
      <c r="Z7">
        <v>4.9130000000000003</v>
      </c>
      <c r="AA7">
        <v>6.625</v>
      </c>
      <c r="AB7" t="s">
        <v>73</v>
      </c>
      <c r="AC7">
        <v>14.84</v>
      </c>
      <c r="AE7" t="s">
        <v>112</v>
      </c>
      <c r="AF7">
        <v>179840</v>
      </c>
      <c r="AK7" t="str">
        <f t="shared" si="0"/>
        <v>2012-03</v>
      </c>
      <c r="AL7" t="str">
        <f t="shared" si="1"/>
        <v>Friday</v>
      </c>
      <c r="AM7" t="str">
        <f t="shared" si="2"/>
        <v>MAC004896</v>
      </c>
    </row>
    <row r="8" spans="1:40" ht="15" customHeight="1" x14ac:dyDescent="0.35">
      <c r="A8" t="s">
        <v>113</v>
      </c>
      <c r="B8" t="s">
        <v>114</v>
      </c>
      <c r="D8" t="s">
        <v>115</v>
      </c>
      <c r="E8">
        <v>11.4748348347347</v>
      </c>
      <c r="F8">
        <v>106</v>
      </c>
      <c r="G8">
        <v>999</v>
      </c>
      <c r="I8" t="s">
        <v>116</v>
      </c>
      <c r="J8">
        <v>9.9337730452751902</v>
      </c>
      <c r="K8">
        <v>565</v>
      </c>
      <c r="L8">
        <v>14699</v>
      </c>
      <c r="N8" t="s">
        <v>117</v>
      </c>
      <c r="O8">
        <v>9.8621806632195508</v>
      </c>
      <c r="P8">
        <v>5.2018586687586801</v>
      </c>
      <c r="R8" t="s">
        <v>118</v>
      </c>
      <c r="S8">
        <v>804</v>
      </c>
      <c r="T8">
        <v>72</v>
      </c>
      <c r="U8">
        <v>8.9600000000000009</v>
      </c>
      <c r="W8" t="s">
        <v>119</v>
      </c>
      <c r="X8" t="s">
        <v>120</v>
      </c>
      <c r="Y8">
        <v>24.885000000000002</v>
      </c>
      <c r="Z8">
        <v>5.6740000000000004</v>
      </c>
      <c r="AA8">
        <v>1.31</v>
      </c>
      <c r="AB8" t="s">
        <v>73</v>
      </c>
      <c r="AC8">
        <v>14.66</v>
      </c>
      <c r="AE8" t="s">
        <v>121</v>
      </c>
      <c r="AF8">
        <v>205268</v>
      </c>
      <c r="AK8" t="str">
        <f t="shared" si="0"/>
        <v>2012-04</v>
      </c>
      <c r="AL8" t="str">
        <f t="shared" si="1"/>
        <v>Saturday</v>
      </c>
      <c r="AM8" t="str">
        <f t="shared" si="2"/>
        <v>MAC000237</v>
      </c>
    </row>
    <row r="9" spans="1:40" ht="15" customHeight="1" x14ac:dyDescent="0.35">
      <c r="A9" t="s">
        <v>122</v>
      </c>
      <c r="B9" t="s">
        <v>123</v>
      </c>
      <c r="D9" t="s">
        <v>124</v>
      </c>
      <c r="E9">
        <v>12.7523720700094</v>
      </c>
      <c r="F9">
        <v>88</v>
      </c>
      <c r="G9">
        <v>1067</v>
      </c>
      <c r="I9" t="s">
        <v>125</v>
      </c>
      <c r="J9">
        <v>8.5869438728939294</v>
      </c>
      <c r="K9">
        <v>883</v>
      </c>
      <c r="L9">
        <v>28311</v>
      </c>
      <c r="N9" t="s">
        <v>126</v>
      </c>
      <c r="O9">
        <v>10.2894128000328</v>
      </c>
      <c r="P9">
        <v>6.7626246381473099</v>
      </c>
      <c r="R9" t="s">
        <v>127</v>
      </c>
      <c r="S9">
        <v>606</v>
      </c>
      <c r="T9">
        <v>71</v>
      </c>
      <c r="U9">
        <v>11.72</v>
      </c>
      <c r="W9" t="s">
        <v>128</v>
      </c>
      <c r="X9" t="s">
        <v>129</v>
      </c>
      <c r="Y9">
        <v>53.384</v>
      </c>
      <c r="Z9">
        <v>4.5679999999999996</v>
      </c>
      <c r="AA9">
        <v>3.3490000000000002</v>
      </c>
      <c r="AB9" t="s">
        <v>73</v>
      </c>
      <c r="AC9">
        <v>14.58</v>
      </c>
      <c r="AE9" t="s">
        <v>130</v>
      </c>
      <c r="AF9">
        <v>188974</v>
      </c>
      <c r="AK9" t="str">
        <f t="shared" si="0"/>
        <v>2012-05</v>
      </c>
      <c r="AL9" t="str">
        <f t="shared" si="1"/>
        <v>Sunday</v>
      </c>
      <c r="AM9" t="str">
        <f t="shared" si="2"/>
        <v>MAC002939</v>
      </c>
    </row>
    <row r="10" spans="1:40" ht="15" customHeight="1" x14ac:dyDescent="0.35">
      <c r="A10" t="s">
        <v>131</v>
      </c>
      <c r="B10" t="s">
        <v>132</v>
      </c>
      <c r="D10" t="s">
        <v>133</v>
      </c>
      <c r="E10">
        <v>12.5084990823583</v>
      </c>
      <c r="F10">
        <v>69</v>
      </c>
      <c r="G10">
        <v>1094</v>
      </c>
      <c r="I10" t="s">
        <v>134</v>
      </c>
      <c r="J10">
        <v>8.1159686429126605</v>
      </c>
      <c r="K10">
        <v>1374</v>
      </c>
      <c r="L10">
        <v>37567</v>
      </c>
      <c r="R10" t="s">
        <v>135</v>
      </c>
      <c r="S10">
        <v>813</v>
      </c>
      <c r="T10">
        <v>70</v>
      </c>
      <c r="U10">
        <v>8.61</v>
      </c>
      <c r="W10" t="s">
        <v>136</v>
      </c>
      <c r="X10" t="s">
        <v>96</v>
      </c>
      <c r="Y10">
        <v>3.2000000000000001E-2</v>
      </c>
      <c r="Z10">
        <v>3.2250000000000001</v>
      </c>
      <c r="AA10">
        <v>0.221</v>
      </c>
      <c r="AB10" t="s">
        <v>94</v>
      </c>
      <c r="AC10">
        <v>14.45</v>
      </c>
      <c r="AE10" t="s">
        <v>137</v>
      </c>
      <c r="AF10">
        <v>80664</v>
      </c>
      <c r="AK10" t="str">
        <f t="shared" si="0"/>
        <v>2012-06</v>
      </c>
      <c r="AM10" t="str">
        <f t="shared" si="2"/>
        <v>MAC000056</v>
      </c>
    </row>
    <row r="11" spans="1:40" ht="15" customHeight="1" x14ac:dyDescent="0.35">
      <c r="A11" t="s">
        <v>138</v>
      </c>
      <c r="B11" t="s">
        <v>139</v>
      </c>
      <c r="D11" t="s">
        <v>140</v>
      </c>
      <c r="E11">
        <v>12.4946969178082</v>
      </c>
      <c r="F11">
        <v>79</v>
      </c>
      <c r="G11">
        <v>1168</v>
      </c>
      <c r="I11" t="s">
        <v>141</v>
      </c>
      <c r="J11">
        <v>8.0451005028028604</v>
      </c>
      <c r="K11">
        <v>1002</v>
      </c>
      <c r="L11">
        <v>44526</v>
      </c>
      <c r="R11" t="s">
        <v>142</v>
      </c>
      <c r="S11">
        <v>794</v>
      </c>
      <c r="T11">
        <v>69</v>
      </c>
      <c r="U11">
        <v>8.69</v>
      </c>
      <c r="W11" t="s">
        <v>143</v>
      </c>
      <c r="X11" t="s">
        <v>144</v>
      </c>
      <c r="Y11">
        <v>42.612000000000002</v>
      </c>
      <c r="Z11">
        <v>5.2649999999999997</v>
      </c>
      <c r="AA11">
        <v>2.63</v>
      </c>
      <c r="AB11" t="s">
        <v>73</v>
      </c>
      <c r="AC11">
        <v>14.2</v>
      </c>
      <c r="AE11" t="s">
        <v>145</v>
      </c>
      <c r="AF11">
        <v>80993</v>
      </c>
      <c r="AK11" t="str">
        <f t="shared" si="0"/>
        <v>2012-07</v>
      </c>
      <c r="AM11" t="str">
        <f t="shared" si="2"/>
        <v>MAC004576</v>
      </c>
    </row>
    <row r="12" spans="1:40" ht="15" customHeight="1" x14ac:dyDescent="0.35">
      <c r="A12" t="s">
        <v>146</v>
      </c>
      <c r="B12" t="s">
        <v>147</v>
      </c>
      <c r="D12" t="s">
        <v>148</v>
      </c>
      <c r="E12">
        <v>12.381341780645201</v>
      </c>
      <c r="F12">
        <v>84</v>
      </c>
      <c r="G12">
        <v>1302</v>
      </c>
      <c r="I12" t="s">
        <v>149</v>
      </c>
      <c r="J12">
        <v>7.8528170301338802</v>
      </c>
      <c r="K12">
        <v>1275</v>
      </c>
      <c r="L12">
        <v>45789</v>
      </c>
      <c r="R12" t="s">
        <v>150</v>
      </c>
      <c r="S12">
        <v>794</v>
      </c>
      <c r="T12">
        <v>69</v>
      </c>
      <c r="U12">
        <v>8.69</v>
      </c>
      <c r="W12" t="s">
        <v>110</v>
      </c>
      <c r="X12" t="s">
        <v>151</v>
      </c>
      <c r="Y12">
        <v>98.65</v>
      </c>
      <c r="Z12">
        <v>4.9130000000000003</v>
      </c>
      <c r="AA12">
        <v>6.625</v>
      </c>
      <c r="AB12" t="s">
        <v>73</v>
      </c>
      <c r="AC12">
        <v>14.15</v>
      </c>
      <c r="AE12" t="s">
        <v>152</v>
      </c>
      <c r="AF12">
        <v>7347</v>
      </c>
      <c r="AK12" t="str">
        <f t="shared" si="0"/>
        <v>2012-08</v>
      </c>
      <c r="AM12" t="str">
        <f t="shared" si="2"/>
        <v>MAC004579</v>
      </c>
    </row>
    <row r="13" spans="1:40" ht="15" customHeight="1" x14ac:dyDescent="0.35">
      <c r="D13" t="s">
        <v>153</v>
      </c>
      <c r="E13">
        <v>13.916314284761899</v>
      </c>
      <c r="F13">
        <v>193</v>
      </c>
      <c r="G13">
        <v>1470</v>
      </c>
      <c r="I13" t="s">
        <v>154</v>
      </c>
      <c r="J13">
        <v>8.4649124888769904</v>
      </c>
      <c r="K13">
        <v>1241</v>
      </c>
      <c r="L13">
        <v>44817</v>
      </c>
      <c r="W13" t="s">
        <v>155</v>
      </c>
      <c r="X13" t="s">
        <v>156</v>
      </c>
      <c r="Y13">
        <v>37.44</v>
      </c>
      <c r="Z13">
        <v>7.4210000000000003</v>
      </c>
      <c r="AA13">
        <v>2.16</v>
      </c>
      <c r="AB13" t="s">
        <v>73</v>
      </c>
      <c r="AC13">
        <v>13.89</v>
      </c>
      <c r="AK13" t="str">
        <f t="shared" si="0"/>
        <v>2012-09</v>
      </c>
    </row>
    <row r="14" spans="1:40" ht="15" customHeight="1" x14ac:dyDescent="0.35">
      <c r="D14" t="s">
        <v>157</v>
      </c>
      <c r="E14">
        <v>14.2467235525819</v>
      </c>
      <c r="F14">
        <v>215</v>
      </c>
      <c r="G14">
        <v>1588</v>
      </c>
      <c r="I14" t="s">
        <v>158</v>
      </c>
      <c r="J14">
        <v>9.7527560839114997</v>
      </c>
      <c r="K14">
        <v>1662</v>
      </c>
      <c r="L14">
        <v>48861</v>
      </c>
      <c r="W14" t="s">
        <v>159</v>
      </c>
      <c r="X14" t="s">
        <v>160</v>
      </c>
      <c r="Y14">
        <v>35.156999999999996</v>
      </c>
      <c r="Z14">
        <v>3.6320000000000001</v>
      </c>
      <c r="AA14">
        <v>2.27</v>
      </c>
      <c r="AB14" t="s">
        <v>73</v>
      </c>
      <c r="AC14">
        <v>13.88</v>
      </c>
      <c r="AK14" t="str">
        <f t="shared" si="0"/>
        <v>2012-10</v>
      </c>
    </row>
    <row r="15" spans="1:40" ht="15" customHeight="1" x14ac:dyDescent="0.35">
      <c r="D15" t="s">
        <v>161</v>
      </c>
      <c r="E15">
        <v>12.6271382829106</v>
      </c>
      <c r="F15">
        <v>120</v>
      </c>
      <c r="G15">
        <v>1656</v>
      </c>
      <c r="I15" t="s">
        <v>162</v>
      </c>
      <c r="J15">
        <v>11.066042479358</v>
      </c>
      <c r="K15">
        <v>2092</v>
      </c>
      <c r="L15">
        <v>48847</v>
      </c>
      <c r="W15" t="s">
        <v>163</v>
      </c>
      <c r="X15" t="s">
        <v>164</v>
      </c>
      <c r="Y15">
        <v>94.340999999999994</v>
      </c>
      <c r="Z15">
        <v>16.704000000000001</v>
      </c>
      <c r="AA15">
        <v>5.6980000000000004</v>
      </c>
      <c r="AB15" t="s">
        <v>73</v>
      </c>
      <c r="AC15">
        <v>13.62</v>
      </c>
      <c r="AK15" t="str">
        <f t="shared" si="0"/>
        <v>2012-11</v>
      </c>
    </row>
    <row r="16" spans="1:40" ht="15" customHeight="1" x14ac:dyDescent="0.35">
      <c r="D16" t="s">
        <v>165</v>
      </c>
      <c r="E16">
        <v>11.851299417558099</v>
      </c>
      <c r="F16">
        <v>86</v>
      </c>
      <c r="G16">
        <v>1720</v>
      </c>
      <c r="I16" t="s">
        <v>166</v>
      </c>
      <c r="J16">
        <v>11.903708296246499</v>
      </c>
      <c r="K16">
        <v>4805</v>
      </c>
      <c r="L16">
        <v>50380</v>
      </c>
      <c r="W16" t="s">
        <v>167</v>
      </c>
      <c r="X16" t="s">
        <v>168</v>
      </c>
      <c r="Y16">
        <v>29.661000000000001</v>
      </c>
      <c r="Z16">
        <v>5.1929999999999996</v>
      </c>
      <c r="AA16">
        <v>1.798</v>
      </c>
      <c r="AB16" t="s">
        <v>73</v>
      </c>
      <c r="AC16">
        <v>13.61</v>
      </c>
      <c r="AK16" t="str">
        <f t="shared" si="0"/>
        <v>2012-12</v>
      </c>
    </row>
    <row r="17" spans="4:37" ht="15" customHeight="1" x14ac:dyDescent="0.35">
      <c r="D17" t="s">
        <v>169</v>
      </c>
      <c r="E17">
        <v>11.7360852439891</v>
      </c>
      <c r="F17">
        <v>102</v>
      </c>
      <c r="G17">
        <v>1830</v>
      </c>
      <c r="I17" t="s">
        <v>170</v>
      </c>
      <c r="J17">
        <v>12.1778579086797</v>
      </c>
      <c r="K17">
        <v>4132</v>
      </c>
      <c r="L17">
        <v>50186</v>
      </c>
      <c r="W17" t="s">
        <v>171</v>
      </c>
      <c r="X17" t="s">
        <v>172</v>
      </c>
      <c r="Y17">
        <v>43.695999999999998</v>
      </c>
      <c r="Z17">
        <v>8.8490000000000002</v>
      </c>
      <c r="AA17">
        <v>2.62</v>
      </c>
      <c r="AB17" t="s">
        <v>73</v>
      </c>
      <c r="AC17">
        <v>13.3</v>
      </c>
      <c r="AK17" t="str">
        <f t="shared" si="0"/>
        <v>2013-01</v>
      </c>
    </row>
    <row r="18" spans="4:37" ht="15" customHeight="1" x14ac:dyDescent="0.35">
      <c r="D18" t="s">
        <v>173</v>
      </c>
      <c r="E18">
        <v>12.149048830042499</v>
      </c>
      <c r="F18">
        <v>81</v>
      </c>
      <c r="G18">
        <v>1884</v>
      </c>
      <c r="I18" t="s">
        <v>174</v>
      </c>
      <c r="J18">
        <v>12.0286240381103</v>
      </c>
      <c r="K18">
        <v>3156</v>
      </c>
      <c r="L18">
        <v>45119</v>
      </c>
      <c r="AK18" t="str">
        <f t="shared" si="0"/>
        <v>2013-02</v>
      </c>
    </row>
    <row r="19" spans="4:37" ht="15" customHeight="1" x14ac:dyDescent="0.35">
      <c r="D19" t="s">
        <v>175</v>
      </c>
      <c r="E19">
        <v>11.1428558504757</v>
      </c>
      <c r="F19">
        <v>59</v>
      </c>
      <c r="G19">
        <v>2102</v>
      </c>
      <c r="I19" t="s">
        <v>176</v>
      </c>
      <c r="J19">
        <v>11.692601108760501</v>
      </c>
      <c r="K19">
        <v>3362</v>
      </c>
      <c r="L19">
        <v>49392</v>
      </c>
      <c r="AK19" t="str">
        <f t="shared" si="0"/>
        <v>2013-03</v>
      </c>
    </row>
    <row r="20" spans="4:37" ht="15" customHeight="1" x14ac:dyDescent="0.35">
      <c r="D20" t="s">
        <v>177</v>
      </c>
      <c r="E20">
        <v>10.4397870464581</v>
      </c>
      <c r="F20">
        <v>63</v>
      </c>
      <c r="G20">
        <v>2301</v>
      </c>
      <c r="I20" t="s">
        <v>178</v>
      </c>
      <c r="J20">
        <v>9.7779913763734605</v>
      </c>
      <c r="K20">
        <v>1480</v>
      </c>
      <c r="L20">
        <v>47544</v>
      </c>
      <c r="AK20" t="str">
        <f t="shared" si="0"/>
        <v>2013-04</v>
      </c>
    </row>
    <row r="21" spans="4:37" ht="15" customHeight="1" x14ac:dyDescent="0.35">
      <c r="D21" t="s">
        <v>179</v>
      </c>
      <c r="E21">
        <v>9.6664251204106293</v>
      </c>
      <c r="F21">
        <v>93</v>
      </c>
      <c r="G21">
        <v>2484</v>
      </c>
      <c r="I21" t="s">
        <v>180</v>
      </c>
      <c r="J21">
        <v>8.6365772473037392</v>
      </c>
      <c r="K21">
        <v>965</v>
      </c>
      <c r="L21">
        <v>48901</v>
      </c>
      <c r="AK21" t="str">
        <f t="shared" si="0"/>
        <v>2013-05</v>
      </c>
    </row>
    <row r="22" spans="4:37" ht="15" customHeight="1" x14ac:dyDescent="0.35">
      <c r="D22" t="s">
        <v>181</v>
      </c>
      <c r="E22">
        <v>9.9255057804190798</v>
      </c>
      <c r="F22">
        <v>151</v>
      </c>
      <c r="G22">
        <v>2768</v>
      </c>
      <c r="I22" t="s">
        <v>182</v>
      </c>
      <c r="J22">
        <v>8.0421448257569299</v>
      </c>
      <c r="K22">
        <v>902</v>
      </c>
      <c r="L22">
        <v>47098</v>
      </c>
      <c r="AK22" t="str">
        <f t="shared" si="0"/>
        <v>2013-06</v>
      </c>
    </row>
    <row r="23" spans="4:37" ht="15" customHeight="1" x14ac:dyDescent="0.35">
      <c r="D23" t="s">
        <v>183</v>
      </c>
      <c r="E23">
        <v>9.7768244464239302</v>
      </c>
      <c r="F23">
        <v>128</v>
      </c>
      <c r="G23">
        <v>3076</v>
      </c>
      <c r="I23" t="s">
        <v>184</v>
      </c>
      <c r="J23">
        <v>7.6939441081576598</v>
      </c>
      <c r="K23">
        <v>927</v>
      </c>
      <c r="L23">
        <v>48433</v>
      </c>
      <c r="AK23" t="str">
        <f t="shared" si="0"/>
        <v>2013-07</v>
      </c>
    </row>
    <row r="24" spans="4:37" ht="15" customHeight="1" x14ac:dyDescent="0.35">
      <c r="D24" t="s">
        <v>185</v>
      </c>
      <c r="E24">
        <v>10.0398691224086</v>
      </c>
      <c r="F24">
        <v>118</v>
      </c>
      <c r="G24">
        <v>3637</v>
      </c>
      <c r="I24" t="s">
        <v>186</v>
      </c>
      <c r="J24">
        <v>7.5605442292204801</v>
      </c>
      <c r="K24">
        <v>1361</v>
      </c>
      <c r="L24">
        <v>48158</v>
      </c>
      <c r="AK24" t="str">
        <f t="shared" si="0"/>
        <v>2013-08</v>
      </c>
    </row>
    <row r="25" spans="4:37" ht="15" customHeight="1" x14ac:dyDescent="0.35">
      <c r="D25" t="s">
        <v>187</v>
      </c>
      <c r="E25">
        <v>10.057440141829</v>
      </c>
      <c r="F25">
        <v>132</v>
      </c>
      <c r="G25">
        <v>4210</v>
      </c>
      <c r="I25" t="s">
        <v>188</v>
      </c>
      <c r="J25">
        <v>8.3763287599365803</v>
      </c>
      <c r="K25">
        <v>1189</v>
      </c>
      <c r="L25">
        <v>46359</v>
      </c>
      <c r="AK25" t="str">
        <f t="shared" si="0"/>
        <v>2013-09</v>
      </c>
    </row>
    <row r="26" spans="4:37" ht="15" customHeight="1" x14ac:dyDescent="0.35">
      <c r="D26" t="s">
        <v>189</v>
      </c>
      <c r="E26">
        <v>9.6023011613520701</v>
      </c>
      <c r="F26">
        <v>164</v>
      </c>
      <c r="G26">
        <v>4911</v>
      </c>
      <c r="I26" t="s">
        <v>190</v>
      </c>
      <c r="J26">
        <v>9.1118452977070294</v>
      </c>
      <c r="K26">
        <v>1322</v>
      </c>
      <c r="L26">
        <v>47711</v>
      </c>
      <c r="AK26" t="str">
        <f t="shared" si="0"/>
        <v>2013-10</v>
      </c>
    </row>
    <row r="27" spans="4:37" ht="15" customHeight="1" x14ac:dyDescent="0.35">
      <c r="D27" t="s">
        <v>191</v>
      </c>
      <c r="E27">
        <v>9.1614575894651509</v>
      </c>
      <c r="F27">
        <v>156</v>
      </c>
      <c r="G27">
        <v>5553</v>
      </c>
      <c r="I27" t="s">
        <v>192</v>
      </c>
      <c r="J27">
        <v>10.6393529346563</v>
      </c>
      <c r="K27">
        <v>2132</v>
      </c>
      <c r="L27">
        <v>45983</v>
      </c>
      <c r="AK27" t="str">
        <f t="shared" si="0"/>
        <v>2013-11</v>
      </c>
    </row>
    <row r="28" spans="4:37" ht="15" customHeight="1" x14ac:dyDescent="0.35">
      <c r="D28" t="s">
        <v>193</v>
      </c>
      <c r="E28">
        <v>8.70645338393774</v>
      </c>
      <c r="F28">
        <v>293</v>
      </c>
      <c r="G28">
        <v>6425</v>
      </c>
      <c r="I28" t="s">
        <v>194</v>
      </c>
      <c r="J28">
        <v>11.1187464984142</v>
      </c>
      <c r="K28">
        <v>3650</v>
      </c>
      <c r="L28">
        <v>46978</v>
      </c>
      <c r="AK28" t="str">
        <f t="shared" si="0"/>
        <v>2013-12</v>
      </c>
    </row>
    <row r="29" spans="4:37" ht="15" customHeight="1" x14ac:dyDescent="0.35">
      <c r="D29" t="s">
        <v>195</v>
      </c>
      <c r="E29">
        <v>7.9506403623433801</v>
      </c>
      <c r="F29">
        <v>191</v>
      </c>
      <c r="G29">
        <v>7502</v>
      </c>
      <c r="I29" t="s">
        <v>196</v>
      </c>
      <c r="J29">
        <v>11.090852671549101</v>
      </c>
      <c r="K29">
        <v>2824</v>
      </c>
      <c r="L29">
        <v>46712</v>
      </c>
      <c r="AK29" t="str">
        <f t="shared" si="0"/>
        <v>2014-01</v>
      </c>
    </row>
    <row r="30" spans="4:37" ht="15" customHeight="1" x14ac:dyDescent="0.35">
      <c r="D30" t="s">
        <v>197</v>
      </c>
      <c r="E30">
        <v>7.9797225708410302</v>
      </c>
      <c r="F30">
        <v>215</v>
      </c>
      <c r="G30">
        <v>8121</v>
      </c>
      <c r="I30" t="s">
        <v>198</v>
      </c>
      <c r="J30">
        <v>10.349549485947</v>
      </c>
      <c r="K30">
        <v>3209</v>
      </c>
      <c r="L30">
        <v>41557</v>
      </c>
      <c r="AK30" t="str">
        <f t="shared" si="0"/>
        <v>2014-02</v>
      </c>
    </row>
    <row r="31" spans="4:37" ht="15" customHeight="1" x14ac:dyDescent="0.35">
      <c r="D31" t="s">
        <v>199</v>
      </c>
      <c r="E31">
        <v>8.4271701504782204</v>
      </c>
      <c r="F31">
        <v>247</v>
      </c>
      <c r="G31">
        <v>8469</v>
      </c>
    </row>
    <row r="32" spans="4:37" ht="15" customHeight="1" x14ac:dyDescent="0.35">
      <c r="D32" t="s">
        <v>200</v>
      </c>
      <c r="E32">
        <v>7.9530360207898996</v>
      </c>
      <c r="F32">
        <v>667</v>
      </c>
      <c r="G32">
        <v>8634</v>
      </c>
    </row>
    <row r="33" spans="4:7" ht="15" customHeight="1" x14ac:dyDescent="0.35">
      <c r="D33" t="s">
        <v>201</v>
      </c>
      <c r="E33">
        <v>8.1111063525487204</v>
      </c>
      <c r="F33">
        <v>202</v>
      </c>
      <c r="G33">
        <v>9083</v>
      </c>
    </row>
    <row r="34" spans="4:7" ht="15" customHeight="1" x14ac:dyDescent="0.35">
      <c r="D34" t="s">
        <v>202</v>
      </c>
      <c r="E34">
        <v>7.9566911044206199</v>
      </c>
      <c r="F34">
        <v>175</v>
      </c>
      <c r="G34">
        <v>9139</v>
      </c>
    </row>
    <row r="35" spans="4:7" ht="15" customHeight="1" x14ac:dyDescent="0.35">
      <c r="D35" t="s">
        <v>203</v>
      </c>
      <c r="E35">
        <v>8.1693766008506596</v>
      </c>
      <c r="F35">
        <v>237</v>
      </c>
      <c r="G35">
        <v>9522</v>
      </c>
    </row>
    <row r="36" spans="4:7" ht="15" customHeight="1" x14ac:dyDescent="0.35">
      <c r="D36" t="s">
        <v>204</v>
      </c>
      <c r="E36">
        <v>8.1280715202311598</v>
      </c>
      <c r="F36">
        <v>190</v>
      </c>
      <c r="G36">
        <v>10123</v>
      </c>
    </row>
    <row r="37" spans="4:7" ht="15" customHeight="1" x14ac:dyDescent="0.35">
      <c r="D37" t="s">
        <v>205</v>
      </c>
      <c r="E37">
        <v>8.0084333815041209</v>
      </c>
      <c r="F37">
        <v>215</v>
      </c>
      <c r="G37">
        <v>10305</v>
      </c>
    </row>
    <row r="38" spans="4:7" ht="15" customHeight="1" x14ac:dyDescent="0.35">
      <c r="D38" t="s">
        <v>206</v>
      </c>
      <c r="E38">
        <v>7.8961918003489098</v>
      </c>
      <c r="F38">
        <v>260</v>
      </c>
      <c r="G38">
        <v>10318</v>
      </c>
    </row>
    <row r="39" spans="4:7" ht="15" customHeight="1" x14ac:dyDescent="0.35">
      <c r="D39" t="s">
        <v>207</v>
      </c>
      <c r="E39">
        <v>7.9135332559783098</v>
      </c>
      <c r="F39">
        <v>290</v>
      </c>
      <c r="G39">
        <v>10329</v>
      </c>
    </row>
    <row r="40" spans="4:7" ht="15" customHeight="1" x14ac:dyDescent="0.35">
      <c r="D40" t="s">
        <v>208</v>
      </c>
      <c r="E40">
        <v>7.8894905676695402</v>
      </c>
      <c r="F40">
        <v>262</v>
      </c>
      <c r="G40">
        <v>10337</v>
      </c>
    </row>
    <row r="41" spans="4:7" ht="15" customHeight="1" x14ac:dyDescent="0.35">
      <c r="D41" t="s">
        <v>209</v>
      </c>
      <c r="E41">
        <v>7.8166377179400399</v>
      </c>
      <c r="F41">
        <v>330</v>
      </c>
      <c r="G41">
        <v>10340</v>
      </c>
    </row>
    <row r="42" spans="4:7" ht="15" customHeight="1" x14ac:dyDescent="0.35">
      <c r="D42" t="s">
        <v>210</v>
      </c>
      <c r="E42">
        <v>7.7191211679914904</v>
      </c>
      <c r="F42">
        <v>294</v>
      </c>
      <c r="G42">
        <v>10341</v>
      </c>
    </row>
    <row r="43" spans="4:7" ht="15" customHeight="1" x14ac:dyDescent="0.35">
      <c r="D43" t="s">
        <v>211</v>
      </c>
      <c r="E43">
        <v>8.0761270050647607</v>
      </c>
      <c r="F43">
        <v>263</v>
      </c>
      <c r="G43">
        <v>10346</v>
      </c>
    </row>
    <row r="44" spans="4:7" ht="15" customHeight="1" x14ac:dyDescent="0.35">
      <c r="D44" t="s">
        <v>212</v>
      </c>
      <c r="E44">
        <v>7.9812040361819196</v>
      </c>
      <c r="F44">
        <v>234</v>
      </c>
      <c r="G44">
        <v>10356</v>
      </c>
    </row>
    <row r="45" spans="4:7" ht="15" customHeight="1" x14ac:dyDescent="0.35">
      <c r="D45" t="s">
        <v>213</v>
      </c>
      <c r="E45">
        <v>8.2098196061316706</v>
      </c>
      <c r="F45">
        <v>249</v>
      </c>
      <c r="G45">
        <v>10405</v>
      </c>
    </row>
    <row r="46" spans="4:7" ht="15" customHeight="1" x14ac:dyDescent="0.35">
      <c r="D46" t="s">
        <v>214</v>
      </c>
      <c r="E46">
        <v>8.6102268792075396</v>
      </c>
      <c r="F46">
        <v>330</v>
      </c>
      <c r="G46">
        <v>10499</v>
      </c>
    </row>
    <row r="47" spans="4:7" ht="15" customHeight="1" x14ac:dyDescent="0.35">
      <c r="D47" t="s">
        <v>215</v>
      </c>
      <c r="E47">
        <v>9.0775051416753101</v>
      </c>
      <c r="F47">
        <v>332</v>
      </c>
      <c r="G47">
        <v>10601</v>
      </c>
    </row>
    <row r="48" spans="4:7" ht="15" customHeight="1" x14ac:dyDescent="0.35">
      <c r="D48" t="s">
        <v>216</v>
      </c>
      <c r="E48">
        <v>9.2052055981867191</v>
      </c>
      <c r="F48">
        <v>293</v>
      </c>
      <c r="G48">
        <v>10754</v>
      </c>
    </row>
    <row r="49" spans="4:7" ht="15" customHeight="1" x14ac:dyDescent="0.35">
      <c r="D49" t="s">
        <v>217</v>
      </c>
      <c r="E49">
        <v>9.6121944294907191</v>
      </c>
      <c r="F49">
        <v>335</v>
      </c>
      <c r="G49">
        <v>10878</v>
      </c>
    </row>
    <row r="50" spans="4:7" ht="15" customHeight="1" x14ac:dyDescent="0.35">
      <c r="D50" t="s">
        <v>218</v>
      </c>
      <c r="E50">
        <v>9.6849269359529195</v>
      </c>
      <c r="F50">
        <v>347</v>
      </c>
      <c r="G50">
        <v>11045</v>
      </c>
    </row>
    <row r="51" spans="4:7" ht="15" customHeight="1" x14ac:dyDescent="0.35">
      <c r="D51" t="s">
        <v>219</v>
      </c>
      <c r="E51">
        <v>10.187713199177299</v>
      </c>
      <c r="F51">
        <v>505</v>
      </c>
      <c r="G51">
        <v>11304</v>
      </c>
    </row>
    <row r="52" spans="4:7" ht="15" customHeight="1" x14ac:dyDescent="0.35">
      <c r="D52" t="s">
        <v>220</v>
      </c>
      <c r="E52">
        <v>10.758027747593999</v>
      </c>
      <c r="F52">
        <v>533</v>
      </c>
      <c r="G52">
        <v>11388</v>
      </c>
    </row>
    <row r="53" spans="4:7" ht="15" customHeight="1" x14ac:dyDescent="0.35">
      <c r="D53" t="s">
        <v>221</v>
      </c>
      <c r="E53">
        <v>10.91512827</v>
      </c>
      <c r="F53">
        <v>457</v>
      </c>
      <c r="G53">
        <v>11390</v>
      </c>
    </row>
    <row r="54" spans="4:7" ht="15" customHeight="1" x14ac:dyDescent="0.35">
      <c r="D54" t="s">
        <v>222</v>
      </c>
      <c r="E54">
        <v>10.8432824938695</v>
      </c>
      <c r="F54">
        <v>424</v>
      </c>
      <c r="G54">
        <v>11402</v>
      </c>
    </row>
    <row r="55" spans="4:7" ht="15" customHeight="1" x14ac:dyDescent="0.35">
      <c r="D55" t="s">
        <v>223</v>
      </c>
      <c r="E55">
        <v>11.074948610339399</v>
      </c>
      <c r="F55">
        <v>476</v>
      </c>
      <c r="G55">
        <v>11403</v>
      </c>
    </row>
    <row r="56" spans="4:7" ht="15" customHeight="1" x14ac:dyDescent="0.35">
      <c r="D56" t="s">
        <v>224</v>
      </c>
      <c r="E56">
        <v>12.0550377229406</v>
      </c>
      <c r="F56">
        <v>800</v>
      </c>
      <c r="G56">
        <v>11399</v>
      </c>
    </row>
    <row r="57" spans="4:7" ht="15" customHeight="1" x14ac:dyDescent="0.35">
      <c r="D57" t="s">
        <v>225</v>
      </c>
      <c r="E57">
        <v>12.4020822572821</v>
      </c>
      <c r="F57">
        <v>902</v>
      </c>
      <c r="G57">
        <v>11391</v>
      </c>
    </row>
    <row r="58" spans="4:7" ht="15" customHeight="1" x14ac:dyDescent="0.35">
      <c r="D58" t="s">
        <v>226</v>
      </c>
      <c r="E58">
        <v>12.3293090962768</v>
      </c>
      <c r="F58">
        <v>1065</v>
      </c>
      <c r="G58">
        <v>11388</v>
      </c>
    </row>
    <row r="59" spans="4:7" ht="15" customHeight="1" x14ac:dyDescent="0.35">
      <c r="D59" t="s">
        <v>227</v>
      </c>
      <c r="E59">
        <v>11.539564769387001</v>
      </c>
      <c r="F59">
        <v>846</v>
      </c>
      <c r="G59">
        <v>11371</v>
      </c>
    </row>
    <row r="60" spans="4:7" ht="15" customHeight="1" x14ac:dyDescent="0.35">
      <c r="D60" t="s">
        <v>228</v>
      </c>
      <c r="E60">
        <v>11.0921458637893</v>
      </c>
      <c r="F60">
        <v>1413</v>
      </c>
      <c r="G60">
        <v>11353</v>
      </c>
    </row>
    <row r="61" spans="4:7" ht="15" customHeight="1" x14ac:dyDescent="0.35">
      <c r="D61" t="s">
        <v>229</v>
      </c>
      <c r="E61">
        <v>11.212093023687499</v>
      </c>
      <c r="F61">
        <v>803</v>
      </c>
      <c r="G61">
        <v>11352</v>
      </c>
    </row>
    <row r="62" spans="4:7" ht="15" customHeight="1" x14ac:dyDescent="0.35">
      <c r="D62" t="s">
        <v>83</v>
      </c>
      <c r="E62">
        <v>11.6453676181474</v>
      </c>
      <c r="F62">
        <v>659</v>
      </c>
      <c r="G62">
        <v>11346</v>
      </c>
    </row>
    <row r="63" spans="4:7" ht="15" customHeight="1" x14ac:dyDescent="0.35">
      <c r="D63" t="s">
        <v>230</v>
      </c>
      <c r="E63">
        <v>13.359399223466101</v>
      </c>
      <c r="F63">
        <v>1440</v>
      </c>
      <c r="G63">
        <v>11327</v>
      </c>
    </row>
    <row r="64" spans="4:7" ht="15" customHeight="1" x14ac:dyDescent="0.35">
      <c r="D64" t="s">
        <v>231</v>
      </c>
      <c r="E64">
        <v>12.9275377745781</v>
      </c>
      <c r="F64">
        <v>1161</v>
      </c>
      <c r="G64">
        <v>11317</v>
      </c>
    </row>
    <row r="65" spans="4:7" ht="15" customHeight="1" x14ac:dyDescent="0.35">
      <c r="D65" t="s">
        <v>232</v>
      </c>
      <c r="E65">
        <v>11.5090661135849</v>
      </c>
      <c r="F65">
        <v>561</v>
      </c>
      <c r="G65">
        <v>11314</v>
      </c>
    </row>
    <row r="66" spans="4:7" ht="15" customHeight="1" x14ac:dyDescent="0.35">
      <c r="D66" t="s">
        <v>233</v>
      </c>
      <c r="E66">
        <v>12.062614757857</v>
      </c>
      <c r="F66">
        <v>743</v>
      </c>
      <c r="G66">
        <v>11302</v>
      </c>
    </row>
    <row r="67" spans="4:7" ht="15" customHeight="1" x14ac:dyDescent="0.35">
      <c r="D67" t="s">
        <v>234</v>
      </c>
      <c r="E67">
        <v>11.9103968292597</v>
      </c>
      <c r="F67">
        <v>703</v>
      </c>
      <c r="G67">
        <v>11292</v>
      </c>
    </row>
    <row r="68" spans="4:7" ht="15" customHeight="1" x14ac:dyDescent="0.35">
      <c r="D68" t="s">
        <v>235</v>
      </c>
      <c r="E68">
        <v>12.1260727668769</v>
      </c>
      <c r="F68">
        <v>983</v>
      </c>
      <c r="G68">
        <v>11255</v>
      </c>
    </row>
    <row r="69" spans="4:7" ht="15" customHeight="1" x14ac:dyDescent="0.35">
      <c r="D69" t="s">
        <v>236</v>
      </c>
      <c r="E69">
        <v>12.0407912792618</v>
      </c>
      <c r="F69">
        <v>728</v>
      </c>
      <c r="G69">
        <v>11216</v>
      </c>
    </row>
    <row r="70" spans="4:7" ht="15" customHeight="1" x14ac:dyDescent="0.35">
      <c r="D70" t="s">
        <v>237</v>
      </c>
      <c r="E70">
        <v>10.932888679257299</v>
      </c>
      <c r="F70">
        <v>470</v>
      </c>
      <c r="G70">
        <v>11175</v>
      </c>
    </row>
    <row r="71" spans="4:7" ht="15" customHeight="1" x14ac:dyDescent="0.35">
      <c r="D71" t="s">
        <v>120</v>
      </c>
      <c r="E71">
        <v>11.873850859709799</v>
      </c>
      <c r="F71">
        <v>793</v>
      </c>
      <c r="G71">
        <v>11164</v>
      </c>
    </row>
    <row r="72" spans="4:7" ht="15" customHeight="1" x14ac:dyDescent="0.35">
      <c r="D72" t="s">
        <v>238</v>
      </c>
      <c r="E72">
        <v>11.829853151437</v>
      </c>
      <c r="F72">
        <v>754</v>
      </c>
      <c r="G72">
        <v>11134</v>
      </c>
    </row>
    <row r="73" spans="4:7" ht="15" customHeight="1" x14ac:dyDescent="0.35">
      <c r="D73" t="s">
        <v>239</v>
      </c>
      <c r="E73">
        <v>11.9955712350292</v>
      </c>
      <c r="F73">
        <v>1015</v>
      </c>
      <c r="G73">
        <v>11125</v>
      </c>
    </row>
    <row r="74" spans="4:7" ht="15" customHeight="1" x14ac:dyDescent="0.35">
      <c r="D74" t="s">
        <v>240</v>
      </c>
      <c r="E74">
        <v>11.3661760262959</v>
      </c>
      <c r="F74">
        <v>716</v>
      </c>
      <c r="G74">
        <v>11112</v>
      </c>
    </row>
    <row r="75" spans="4:7" ht="15" customHeight="1" x14ac:dyDescent="0.35">
      <c r="D75" t="s">
        <v>241</v>
      </c>
      <c r="E75">
        <v>10.175079895325201</v>
      </c>
      <c r="F75">
        <v>322</v>
      </c>
      <c r="G75">
        <v>11102</v>
      </c>
    </row>
    <row r="76" spans="4:7" ht="15" customHeight="1" x14ac:dyDescent="0.35">
      <c r="D76" t="s">
        <v>242</v>
      </c>
      <c r="E76">
        <v>9.08577737620422</v>
      </c>
      <c r="F76">
        <v>213</v>
      </c>
      <c r="G76">
        <v>11086</v>
      </c>
    </row>
    <row r="77" spans="4:7" ht="15" customHeight="1" x14ac:dyDescent="0.35">
      <c r="D77" t="s">
        <v>243</v>
      </c>
      <c r="E77">
        <v>8.7902374978335391</v>
      </c>
      <c r="F77">
        <v>197</v>
      </c>
      <c r="G77">
        <v>11078</v>
      </c>
    </row>
    <row r="78" spans="4:7" ht="15" customHeight="1" x14ac:dyDescent="0.35">
      <c r="D78" t="s">
        <v>244</v>
      </c>
      <c r="E78">
        <v>8.5263659255417092</v>
      </c>
      <c r="F78">
        <v>148</v>
      </c>
      <c r="G78">
        <v>11076</v>
      </c>
    </row>
    <row r="79" spans="4:7" ht="15" customHeight="1" x14ac:dyDescent="0.35">
      <c r="D79" t="s">
        <v>245</v>
      </c>
      <c r="E79">
        <v>8.5671908636363607</v>
      </c>
      <c r="F79">
        <v>196</v>
      </c>
      <c r="G79">
        <v>11055</v>
      </c>
    </row>
    <row r="80" spans="4:7" ht="15" customHeight="1" x14ac:dyDescent="0.35">
      <c r="D80" t="s">
        <v>246</v>
      </c>
      <c r="E80">
        <v>8.8888161157084706</v>
      </c>
      <c r="F80">
        <v>232</v>
      </c>
      <c r="G80">
        <v>11045</v>
      </c>
    </row>
    <row r="81" spans="4:7" ht="15" customHeight="1" x14ac:dyDescent="0.35">
      <c r="D81" t="s">
        <v>247</v>
      </c>
      <c r="E81">
        <v>8.6381081167165501</v>
      </c>
      <c r="F81">
        <v>237</v>
      </c>
      <c r="G81">
        <v>11025</v>
      </c>
    </row>
    <row r="82" spans="4:7" ht="15" customHeight="1" x14ac:dyDescent="0.35">
      <c r="D82" t="s">
        <v>248</v>
      </c>
      <c r="E82">
        <v>8.5120781732794608</v>
      </c>
      <c r="F82">
        <v>264</v>
      </c>
      <c r="G82">
        <v>11014</v>
      </c>
    </row>
    <row r="83" spans="4:7" ht="15" customHeight="1" x14ac:dyDescent="0.35">
      <c r="D83" t="s">
        <v>249</v>
      </c>
      <c r="E83">
        <v>7.9082885175417896</v>
      </c>
      <c r="F83">
        <v>220</v>
      </c>
      <c r="G83">
        <v>11008</v>
      </c>
    </row>
    <row r="84" spans="4:7" ht="15" customHeight="1" x14ac:dyDescent="0.35">
      <c r="D84" t="s">
        <v>250</v>
      </c>
      <c r="E84">
        <v>8.2428242152571691</v>
      </c>
      <c r="F84">
        <v>228</v>
      </c>
      <c r="G84">
        <v>10985</v>
      </c>
    </row>
    <row r="85" spans="4:7" ht="15" customHeight="1" x14ac:dyDescent="0.35">
      <c r="D85" t="s">
        <v>251</v>
      </c>
      <c r="E85">
        <v>8.0241859910101105</v>
      </c>
      <c r="F85">
        <v>214</v>
      </c>
      <c r="G85">
        <v>10979</v>
      </c>
    </row>
    <row r="86" spans="4:7" ht="15" customHeight="1" x14ac:dyDescent="0.35">
      <c r="D86" t="s">
        <v>252</v>
      </c>
      <c r="E86">
        <v>7.8895325197121497</v>
      </c>
      <c r="F86">
        <v>160</v>
      </c>
      <c r="G86">
        <v>10978</v>
      </c>
    </row>
    <row r="87" spans="4:7" ht="15" customHeight="1" x14ac:dyDescent="0.35">
      <c r="D87" t="s">
        <v>253</v>
      </c>
      <c r="E87">
        <v>7.7784191454097504</v>
      </c>
      <c r="F87">
        <v>202</v>
      </c>
      <c r="G87">
        <v>10958</v>
      </c>
    </row>
    <row r="88" spans="4:7" ht="15" customHeight="1" x14ac:dyDescent="0.35">
      <c r="D88" t="s">
        <v>254</v>
      </c>
      <c r="E88">
        <v>7.6221694711724899</v>
      </c>
      <c r="F88">
        <v>186</v>
      </c>
      <c r="G88">
        <v>10934</v>
      </c>
    </row>
    <row r="89" spans="4:7" ht="15" customHeight="1" x14ac:dyDescent="0.35">
      <c r="D89" t="s">
        <v>255</v>
      </c>
      <c r="E89">
        <v>7.7117143117695504</v>
      </c>
      <c r="F89">
        <v>220</v>
      </c>
      <c r="G89">
        <v>10935</v>
      </c>
    </row>
    <row r="90" spans="4:7" ht="15" customHeight="1" x14ac:dyDescent="0.35">
      <c r="D90" t="s">
        <v>256</v>
      </c>
      <c r="E90">
        <v>7.7105898818497902</v>
      </c>
      <c r="F90">
        <v>258</v>
      </c>
      <c r="G90">
        <v>10931</v>
      </c>
    </row>
    <row r="91" spans="4:7" ht="15" customHeight="1" x14ac:dyDescent="0.35">
      <c r="D91" t="s">
        <v>257</v>
      </c>
      <c r="E91">
        <v>7.6150566711691896</v>
      </c>
      <c r="F91">
        <v>212</v>
      </c>
      <c r="G91">
        <v>10905</v>
      </c>
    </row>
    <row r="92" spans="4:7" ht="15" customHeight="1" x14ac:dyDescent="0.35">
      <c r="D92" t="s">
        <v>258</v>
      </c>
      <c r="E92">
        <v>7.4596022201046104</v>
      </c>
      <c r="F92">
        <v>328</v>
      </c>
      <c r="G92">
        <v>10898</v>
      </c>
    </row>
    <row r="93" spans="4:7" ht="15" customHeight="1" x14ac:dyDescent="0.35">
      <c r="D93" t="s">
        <v>259</v>
      </c>
      <c r="E93">
        <v>7.54419268936444</v>
      </c>
      <c r="F93">
        <v>322</v>
      </c>
      <c r="G93">
        <v>10888</v>
      </c>
    </row>
    <row r="94" spans="4:7" ht="15" customHeight="1" x14ac:dyDescent="0.35">
      <c r="D94" t="s">
        <v>260</v>
      </c>
      <c r="E94">
        <v>7.6289084957611504</v>
      </c>
      <c r="F94">
        <v>334</v>
      </c>
      <c r="G94">
        <v>10852</v>
      </c>
    </row>
    <row r="95" spans="4:7" ht="15" customHeight="1" x14ac:dyDescent="0.35">
      <c r="D95" t="s">
        <v>261</v>
      </c>
      <c r="E95">
        <v>7.62573996484267</v>
      </c>
      <c r="F95">
        <v>261</v>
      </c>
      <c r="G95">
        <v>10837</v>
      </c>
    </row>
    <row r="96" spans="4:7" ht="15" customHeight="1" x14ac:dyDescent="0.35">
      <c r="D96" t="s">
        <v>262</v>
      </c>
      <c r="E96">
        <v>7.8808399588875604</v>
      </c>
      <c r="F96">
        <v>228</v>
      </c>
      <c r="G96">
        <v>10841</v>
      </c>
    </row>
    <row r="97" spans="4:7" ht="15" customHeight="1" x14ac:dyDescent="0.35">
      <c r="D97" t="s">
        <v>263</v>
      </c>
      <c r="E97">
        <v>8.5502656562442301</v>
      </c>
      <c r="F97">
        <v>302</v>
      </c>
      <c r="G97">
        <v>10826</v>
      </c>
    </row>
    <row r="98" spans="4:7" ht="15" customHeight="1" x14ac:dyDescent="0.35">
      <c r="D98" t="s">
        <v>264</v>
      </c>
      <c r="E98">
        <v>8.6941859257500003</v>
      </c>
      <c r="F98">
        <v>334</v>
      </c>
      <c r="G98">
        <v>10800</v>
      </c>
    </row>
    <row r="99" spans="4:7" ht="15" customHeight="1" x14ac:dyDescent="0.35">
      <c r="D99" t="s">
        <v>265</v>
      </c>
      <c r="E99">
        <v>8.41428948309572</v>
      </c>
      <c r="F99">
        <v>257</v>
      </c>
      <c r="G99">
        <v>10802</v>
      </c>
    </row>
    <row r="100" spans="4:7" ht="15" customHeight="1" x14ac:dyDescent="0.35">
      <c r="D100" t="s">
        <v>266</v>
      </c>
      <c r="E100">
        <v>8.5802756922713392</v>
      </c>
      <c r="F100">
        <v>231</v>
      </c>
      <c r="G100">
        <v>10791</v>
      </c>
    </row>
    <row r="101" spans="4:7" ht="15" customHeight="1" x14ac:dyDescent="0.35">
      <c r="D101" t="s">
        <v>267</v>
      </c>
      <c r="E101">
        <v>9.0861701291744001</v>
      </c>
      <c r="F101">
        <v>281</v>
      </c>
      <c r="G101">
        <v>10780</v>
      </c>
    </row>
    <row r="102" spans="4:7" ht="15" customHeight="1" x14ac:dyDescent="0.35">
      <c r="D102" t="s">
        <v>268</v>
      </c>
      <c r="E102">
        <v>9.3983413852949393</v>
      </c>
      <c r="F102">
        <v>323</v>
      </c>
      <c r="G102">
        <v>10765</v>
      </c>
    </row>
    <row r="103" spans="4:7" ht="15" customHeight="1" x14ac:dyDescent="0.35">
      <c r="D103" t="s">
        <v>269</v>
      </c>
      <c r="E103">
        <v>9.0868749536324795</v>
      </c>
      <c r="F103">
        <v>336</v>
      </c>
      <c r="G103">
        <v>10764</v>
      </c>
    </row>
    <row r="104" spans="4:7" ht="15" customHeight="1" x14ac:dyDescent="0.35">
      <c r="D104" t="s">
        <v>270</v>
      </c>
      <c r="E104">
        <v>9.6617658524649492</v>
      </c>
      <c r="F104">
        <v>403</v>
      </c>
      <c r="G104">
        <v>10771</v>
      </c>
    </row>
    <row r="105" spans="4:7" ht="15" customHeight="1" x14ac:dyDescent="0.35">
      <c r="D105" t="s">
        <v>271</v>
      </c>
      <c r="E105">
        <v>10.218820300492199</v>
      </c>
      <c r="F105">
        <v>449</v>
      </c>
      <c r="G105">
        <v>10768</v>
      </c>
    </row>
    <row r="106" spans="4:7" ht="15" customHeight="1" x14ac:dyDescent="0.35">
      <c r="D106" t="s">
        <v>272</v>
      </c>
      <c r="E106">
        <v>10.501370373842301</v>
      </c>
      <c r="F106">
        <v>479</v>
      </c>
      <c r="G106">
        <v>10754</v>
      </c>
    </row>
    <row r="107" spans="4:7" ht="15" customHeight="1" x14ac:dyDescent="0.35">
      <c r="D107" t="s">
        <v>273</v>
      </c>
      <c r="E107">
        <v>11.2255945847993</v>
      </c>
      <c r="F107">
        <v>590</v>
      </c>
      <c r="G107">
        <v>10710</v>
      </c>
    </row>
    <row r="108" spans="4:7" ht="15" customHeight="1" x14ac:dyDescent="0.35">
      <c r="D108" t="s">
        <v>274</v>
      </c>
      <c r="E108">
        <v>11.102998122663299</v>
      </c>
      <c r="F108">
        <v>542</v>
      </c>
      <c r="G108">
        <v>10656</v>
      </c>
    </row>
    <row r="109" spans="4:7" ht="15" customHeight="1" x14ac:dyDescent="0.35">
      <c r="D109" t="s">
        <v>275</v>
      </c>
      <c r="E109">
        <v>11.1198831216361</v>
      </c>
      <c r="F109">
        <v>580</v>
      </c>
      <c r="G109">
        <v>10635</v>
      </c>
    </row>
    <row r="110" spans="4:7" ht="15" customHeight="1" x14ac:dyDescent="0.35">
      <c r="D110" t="s">
        <v>276</v>
      </c>
      <c r="E110">
        <v>11.1209906659438</v>
      </c>
      <c r="F110">
        <v>615</v>
      </c>
      <c r="G110">
        <v>10606</v>
      </c>
    </row>
    <row r="111" spans="4:7" ht="15" customHeight="1" x14ac:dyDescent="0.35">
      <c r="D111" t="s">
        <v>277</v>
      </c>
      <c r="E111">
        <v>10.9936419204698</v>
      </c>
      <c r="F111">
        <v>617</v>
      </c>
      <c r="G111">
        <v>10601</v>
      </c>
    </row>
    <row r="112" spans="4:7" ht="15" customHeight="1" x14ac:dyDescent="0.35">
      <c r="D112" t="s">
        <v>278</v>
      </c>
      <c r="E112">
        <v>11.1203094785026</v>
      </c>
      <c r="F112">
        <v>1430</v>
      </c>
      <c r="G112">
        <v>10592</v>
      </c>
    </row>
    <row r="113" spans="4:7" ht="15" customHeight="1" x14ac:dyDescent="0.35">
      <c r="D113" t="s">
        <v>279</v>
      </c>
      <c r="E113">
        <v>11.384963998903901</v>
      </c>
      <c r="F113">
        <v>901</v>
      </c>
      <c r="G113">
        <v>10583</v>
      </c>
    </row>
    <row r="114" spans="4:7" ht="15" customHeight="1" x14ac:dyDescent="0.35">
      <c r="D114" t="s">
        <v>280</v>
      </c>
      <c r="E114">
        <v>11.010759673725101</v>
      </c>
      <c r="F114">
        <v>543</v>
      </c>
      <c r="G114">
        <v>10569</v>
      </c>
    </row>
    <row r="115" spans="4:7" ht="15" customHeight="1" x14ac:dyDescent="0.35">
      <c r="D115" t="s">
        <v>281</v>
      </c>
      <c r="E115">
        <v>10.7501651640926</v>
      </c>
      <c r="F115">
        <v>639</v>
      </c>
      <c r="G115">
        <v>10541</v>
      </c>
    </row>
    <row r="116" spans="4:7" ht="15" customHeight="1" x14ac:dyDescent="0.35">
      <c r="D116" t="s">
        <v>282</v>
      </c>
      <c r="E116">
        <v>11.1477634427608</v>
      </c>
      <c r="F116">
        <v>572</v>
      </c>
      <c r="G116">
        <v>10526</v>
      </c>
    </row>
    <row r="117" spans="4:7" ht="15" customHeight="1" x14ac:dyDescent="0.35">
      <c r="D117" t="s">
        <v>283</v>
      </c>
      <c r="E117">
        <v>11.2916589598439</v>
      </c>
      <c r="F117">
        <v>681</v>
      </c>
      <c r="G117">
        <v>10509</v>
      </c>
    </row>
    <row r="118" spans="4:7" ht="15" customHeight="1" x14ac:dyDescent="0.35">
      <c r="D118" t="s">
        <v>92</v>
      </c>
      <c r="E118">
        <v>10.909722020049699</v>
      </c>
      <c r="F118">
        <v>525</v>
      </c>
      <c r="G118">
        <v>10454</v>
      </c>
    </row>
    <row r="119" spans="4:7" ht="15" customHeight="1" x14ac:dyDescent="0.35">
      <c r="D119" t="s">
        <v>284</v>
      </c>
      <c r="E119">
        <v>10.999139766605801</v>
      </c>
      <c r="F119">
        <v>605</v>
      </c>
      <c r="G119">
        <v>10403</v>
      </c>
    </row>
    <row r="120" spans="4:7" ht="15" customHeight="1" x14ac:dyDescent="0.35">
      <c r="D120" t="s">
        <v>285</v>
      </c>
      <c r="E120">
        <v>10.460879206789199</v>
      </c>
      <c r="F120">
        <v>450</v>
      </c>
      <c r="G120">
        <v>10340</v>
      </c>
    </row>
    <row r="121" spans="4:7" ht="15" customHeight="1" x14ac:dyDescent="0.35">
      <c r="D121" t="s">
        <v>286</v>
      </c>
      <c r="E121">
        <v>8.0353292157887601</v>
      </c>
      <c r="F121">
        <v>1378</v>
      </c>
      <c r="G121">
        <v>7366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Archita Jha</cp:lastModifiedBy>
  <cp:revision>2</cp:revision>
  <dcterms:created xsi:type="dcterms:W3CDTF">2026-08-19T20:25:31Z</dcterms:created>
  <dcterms:modified xsi:type="dcterms:W3CDTF">2026-08-20T05:15:58Z</dcterms:modified>
  <dc:language>en-US</dc:language>
</cp:coreProperties>
</file>